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excel-maze-generator\"/>
    </mc:Choice>
  </mc:AlternateContent>
  <xr:revisionPtr revIDLastSave="0" documentId="13_ncr:1_{F095A1EF-BB95-40C0-89A6-F69BADCF47C2}" xr6:coauthVersionLast="45" xr6:coauthVersionMax="45" xr10:uidLastSave="{00000000-0000-0000-0000-000000000000}"/>
  <bookViews>
    <workbookView xWindow="-108" yWindow="-108" windowWidth="30936" windowHeight="16572" xr2:uid="{5D6837E3-3336-442C-95D3-36EC4B90DC13}"/>
  </bookViews>
  <sheets>
    <sheet name="instructions" sheetId="3" r:id="rId1"/>
    <sheet name="maze" sheetId="2" r:id="rId2"/>
    <sheet name="path" sheetId="1" r:id="rId3"/>
  </sheets>
  <definedNames>
    <definedName name="LineProb">instructions!$H$32</definedName>
    <definedName name="MadeIt">path!$C$3</definedName>
    <definedName name="MaxScore">instructions!$H$33</definedName>
    <definedName name="Reset">path!$C$2</definedName>
    <definedName name="Score">path!$C$4</definedName>
  </definedNames>
  <calcPr calcId="191029" calcMode="manual" iterate="1" iterateCount="1" iterateDelta="0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C3" i="2" l="1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E4" i="1"/>
  <c r="F4" i="1" s="1"/>
  <c r="G4" i="1" s="1"/>
  <c r="H4" i="1" s="1"/>
  <c r="E5" i="1" l="1"/>
  <c r="E6" i="1" s="1"/>
  <c r="C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4" i="1"/>
  <c r="I4" i="1"/>
  <c r="J4" i="1"/>
  <c r="K4" i="1"/>
  <c r="L4" i="1"/>
  <c r="M4" i="1"/>
  <c r="N4" i="1"/>
  <c r="O4" i="1"/>
  <c r="P4" i="1"/>
  <c r="Q4" i="1"/>
  <c r="R4" i="1"/>
  <c r="S4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</calcChain>
</file>

<file path=xl/sharedStrings.xml><?xml version="1.0" encoding="utf-8"?>
<sst xmlns="http://schemas.openxmlformats.org/spreadsheetml/2006/main" count="9" uniqueCount="9">
  <si>
    <t>Reset</t>
  </si>
  <si>
    <t>Made it to end</t>
  </si>
  <si>
    <t>LineProb</t>
  </si>
  <si>
    <t>START</t>
  </si>
  <si>
    <t>END</t>
  </si>
  <si>
    <t>Square scores</t>
  </si>
  <si>
    <t>Path</t>
  </si>
  <si>
    <t>Score</t>
  </si>
  <si>
    <t>MaxScore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</si>
</sst>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/>
    <xf numFmtId="0" fontId="0" fillId="2" borderId="0" xfId="0" applyFill="1" applyAlignment="1">
      <alignment horizontal="right"/>
    </xf>
    <xf numFmtId="0" fontId="0" fillId="2" borderId="0" xfId="0" applyFill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8" xfId="0" applyBorder="1"/>
    <xf numFmtId="0" fontId="0" fillId="0" borderId="3" xfId="0" applyBorder="1"/>
    <xf numFmtId="0" fontId="0" fillId="0" borderId="5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7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right"/>
    </xf>
  </cellXfs>
  <cellStyles count="1">
    <cellStyle name="Normal" xfId="0" builtinId="0"/>
  </cellStyles>
  <dxfs count="21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DD2E46-43AF-40E6-A53F-2F87FD852835}"/>
            </a:ext>
          </a:extLst>
        </xdr:cNvPr>
        <xdr:cNvSpPr txBox="1"/>
      </xdr:nvSpPr>
      <xdr:spPr>
        <a:xfrm>
          <a:off x="236220" y="182880"/>
          <a:ext cx="8534400" cy="5303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This</a:t>
          </a:r>
          <a:r>
            <a:rPr lang="en-GB" sz="1100" baseline="0"/>
            <a:t> spreadsheet generates mazes for you to print, and your children to complain about how they're not as good as the ones that you get in the pub.</a:t>
          </a:r>
        </a:p>
        <a:p>
          <a:endParaRPr lang="en-GB" sz="1100" baseline="0"/>
        </a:p>
        <a:p>
          <a:r>
            <a:rPr lang="en-GB" sz="1100" b="1" baseline="0"/>
            <a:t>Short instructions:</a:t>
          </a:r>
        </a:p>
        <a:p>
          <a:r>
            <a:rPr lang="en-GB" sz="1100" baseline="0"/>
            <a:t>* Go to the "maze" tab</a:t>
          </a:r>
        </a:p>
        <a:p>
          <a:r>
            <a:rPr lang="en-GB" sz="1100" baseline="0"/>
            <a:t>* Click "make new one"</a:t>
          </a:r>
        </a:p>
        <a:p>
          <a:r>
            <a:rPr lang="en-GB" sz="1100" baseline="0"/>
            <a:t>* Go and make a cup of tea (press Escape to cancel if you get really fed up)</a:t>
          </a:r>
        </a:p>
        <a:p>
          <a:r>
            <a:rPr lang="en-GB" sz="1100" baseline="0"/>
            <a:t>* Print it</a:t>
          </a:r>
        </a:p>
        <a:p>
          <a:endParaRPr lang="en-GB" sz="1100" baseline="0"/>
        </a:p>
        <a:p>
          <a:r>
            <a:rPr lang="en-GB" sz="1100" b="1"/>
            <a:t>Long description:</a:t>
          </a:r>
        </a:p>
        <a:p>
          <a:r>
            <a:rPr lang="en-GB" sz="1100"/>
            <a:t>The </a:t>
          </a:r>
          <a:r>
            <a:rPr lang="en-GB" sz="1100" baseline="0"/>
            <a:t>"maze" tab generates a maze when it is recalculated. The cells randomly contain a "T" if there's a top border and a "L" if there's a left border. They're formatted white so you can't see the text in there when you print it. The maze lines are created using conditional border formatting on the cells.</a:t>
          </a:r>
        </a:p>
        <a:p>
          <a:r>
            <a:rPr lang="en-GB" sz="1100" baseline="0"/>
            <a:t>The "path" tab determines whether there's a path through the maze and the overall quality of the maze. It uses iterative calculation to generate the path. It scores the path by using the Square Scores grid - paths that go right through the middle don't score very well, and ones that go around the edges do better.</a:t>
          </a:r>
          <a:endParaRPr lang="en-GB" sz="1100"/>
        </a:p>
        <a:p>
          <a:endParaRPr lang="en-GB" sz="1100"/>
        </a:p>
        <a:p>
          <a:r>
            <a:rPr lang="en-GB" sz="1100" b="0"/>
            <a:t>The</a:t>
          </a:r>
          <a:r>
            <a:rPr lang="en-GB" sz="1100" b="0" baseline="0"/>
            <a:t> two parameters you can edit are:</a:t>
          </a:r>
        </a:p>
        <a:p>
          <a:r>
            <a:rPr lang="en-GB" sz="1100" baseline="0"/>
            <a:t>* </a:t>
          </a:r>
          <a:r>
            <a:rPr lang="en-GB" sz="1100" b="1" baseline="0"/>
            <a:t>LineProb </a:t>
          </a:r>
          <a:r>
            <a:rPr lang="en-GB" sz="1100" baseline="0"/>
            <a:t>- the probability of any grid cell having a left or top border on it. Basically the complexity of the maze (higher is more complex, lower is more sparse)</a:t>
          </a:r>
        </a:p>
        <a:p>
          <a:r>
            <a:rPr lang="en-GB" sz="1100" baseline="0"/>
            <a:t>* </a:t>
          </a:r>
          <a:r>
            <a:rPr lang="en-GB" sz="1100" b="1" baseline="0"/>
            <a:t>MaxScore </a:t>
          </a:r>
          <a:r>
            <a:rPr lang="en-GB" sz="1100" baseline="0"/>
            <a:t>- the highest score you will accept as a valid maze for the macro to stop running (low scores are good, high scores are bad).</a:t>
          </a:r>
        </a:p>
        <a:p>
          <a:r>
            <a:rPr lang="en-GB" sz="1100" baseline="0"/>
            <a:t>Changing either of these parameters may result in better mazes but the macro could take a </a:t>
          </a:r>
          <a:r>
            <a:rPr lang="en-GB" sz="1100" i="1" baseline="0"/>
            <a:t>long </a:t>
          </a:r>
          <a:r>
            <a:rPr lang="en-GB" sz="1100" baseline="0"/>
            <a:t>time to run. This is not the most efficient way to make a maze.</a:t>
          </a:r>
        </a:p>
        <a:p>
          <a:endParaRPr lang="en-GB" sz="1100"/>
        </a:p>
        <a:p>
          <a:r>
            <a:rPr lang="en-GB" sz="1100"/>
            <a:t>The spreadsheet does have a macro in it, but the core logic is in the spreadsheet itself. To generate a maze without using macros: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On the "path" sheet, change Reset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be 1 (this resets the path through the maze)</a:t>
          </a:r>
          <a:endParaRPr lang="en-GB">
            <a:effectLst/>
          </a:endParaRPr>
        </a:p>
        <a:p>
          <a:r>
            <a:rPr lang="en-GB" sz="1100"/>
            <a:t>* F9</a:t>
          </a:r>
          <a:r>
            <a:rPr lang="en-GB" sz="1100" baseline="0"/>
            <a:t> to generate a new maze on the "maze" sheet and reset the path calculations</a:t>
          </a:r>
        </a:p>
        <a:p>
          <a:r>
            <a:rPr lang="en-GB" sz="1100" baseline="0"/>
            <a:t>* On the "path" sheet, change Reset to be 0 and then </a:t>
          </a:r>
          <a:r>
            <a:rPr lang="en-GB" sz="1100"/>
            <a:t>shift-F9 a few times until new cells stop populating in the Path grid</a:t>
          </a:r>
        </a:p>
        <a:p>
          <a:r>
            <a:rPr lang="en-GB" sz="1100"/>
            <a:t>* If there is a number next to "END" in the Path grid, the maze</a:t>
          </a:r>
          <a:r>
            <a:rPr lang="en-GB" sz="1100" baseline="0"/>
            <a:t> is solvable</a:t>
          </a:r>
        </a:p>
        <a:p>
          <a:r>
            <a:rPr lang="en-GB" sz="1100" baseline="0"/>
            <a:t>* If the score is nice and low it's a decent maze</a:t>
          </a:r>
        </a:p>
        <a:p>
          <a:r>
            <a:rPr lang="en-GB" sz="1100" baseline="0"/>
            <a:t>You may have to do this several hundred times before you get a reasonable maze out of it, hence the macro to just perform the above steps.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8619-384E-4C54-808F-20E590D46EDA}">
  <dimension ref="G32:H33"/>
  <sheetViews>
    <sheetView tabSelected="1" workbookViewId="0"/>
  </sheetViews>
  <sheetFormatPr defaultRowHeight="14.4" x14ac:dyDescent="0.3"/>
  <cols>
    <col min="1" max="1" width="3.44140625" customWidth="1"/>
  </cols>
  <sheetData>
    <row r="32" spans="7:8" x14ac:dyDescent="0.3">
      <c r="G32" s="15" t="s">
        <v>2</v>
      </c>
      <c r="H32" s="26">
        <v>0.55000000000000004</v>
      </c>
    </row>
    <row r="33" spans="7:8" x14ac:dyDescent="0.3">
      <c r="G33" s="21" t="s">
        <v>8</v>
      </c>
      <c r="H33" s="27">
        <v>125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555F-2B08-48DC-A592-7177FC56AC7C}">
  <sheetPr codeName="Sheet2"/>
  <dimension ref="B3:R17"/>
  <sheetViews>
    <sheetView showGridLines="0" workbookViewId="0"/>
  </sheetViews>
  <sheetFormatPr defaultRowHeight="14.4" x14ac:dyDescent="0.3"/>
  <cols>
    <col min="1" max="1" width="4.5546875" customWidth="1"/>
    <col min="2" max="2" width="6" customWidth="1"/>
    <col min="3" max="17" width="3.109375" customWidth="1"/>
    <col min="18" max="18" width="4.44140625" customWidth="1"/>
  </cols>
  <sheetData>
    <row r="3" spans="2:18" x14ac:dyDescent="0.3">
      <c r="C3" s="12" t="str">
        <f t="shared" ref="C3:Q17" ca="1" si="0">IF(RAND()&lt;LineProb,"L","") &amp; IF(RAND()&lt;LineProb,"T","") &amp; " "</f>
        <v xml:space="preserve">LT </v>
      </c>
      <c r="D3" s="12" t="str">
        <f t="shared" ca="1" si="0"/>
        <v xml:space="preserve">T </v>
      </c>
      <c r="E3" s="12" t="str">
        <f t="shared" ca="1" si="0"/>
        <v xml:space="preserve">L </v>
      </c>
      <c r="F3" s="12" t="str">
        <f t="shared" ca="1" si="0"/>
        <v xml:space="preserve">T </v>
      </c>
      <c r="G3" s="12" t="str">
        <f t="shared" ca="1" si="0"/>
        <v xml:space="preserve">T </v>
      </c>
      <c r="H3" s="12" t="str">
        <f t="shared" ca="1" si="0"/>
        <v xml:space="preserve">T </v>
      </c>
      <c r="I3" s="12" t="str">
        <f t="shared" ca="1" si="0"/>
        <v xml:space="preserve"> </v>
      </c>
      <c r="J3" s="12" t="str">
        <f t="shared" ca="1" si="0"/>
        <v xml:space="preserve">L </v>
      </c>
      <c r="K3" s="12" t="str">
        <f t="shared" ca="1" si="0"/>
        <v xml:space="preserve">LT </v>
      </c>
      <c r="L3" s="12" t="str">
        <f t="shared" ca="1" si="0"/>
        <v xml:space="preserve">L </v>
      </c>
      <c r="M3" s="12" t="str">
        <f t="shared" ca="1" si="0"/>
        <v xml:space="preserve">L </v>
      </c>
      <c r="N3" s="12" t="str">
        <f t="shared" ca="1" si="0"/>
        <v xml:space="preserve">LT </v>
      </c>
      <c r="O3" s="12" t="str">
        <f t="shared" ca="1" si="0"/>
        <v xml:space="preserve"> </v>
      </c>
      <c r="P3" s="12" t="str">
        <f t="shared" ca="1" si="0"/>
        <v xml:space="preserve"> </v>
      </c>
      <c r="Q3" s="12" t="str">
        <f t="shared" ca="1" si="0"/>
        <v xml:space="preserve">LT </v>
      </c>
    </row>
    <row r="4" spans="2:18" x14ac:dyDescent="0.3">
      <c r="B4" s="13" t="s">
        <v>3</v>
      </c>
      <c r="C4" s="12" t="str">
        <f t="shared" ca="1" si="0"/>
        <v xml:space="preserve"> </v>
      </c>
      <c r="D4" s="12" t="str">
        <f t="shared" ca="1" si="0"/>
        <v xml:space="preserve"> </v>
      </c>
      <c r="E4" s="12" t="str">
        <f t="shared" ca="1" si="0"/>
        <v xml:space="preserve"> </v>
      </c>
      <c r="F4" s="12" t="str">
        <f t="shared" ca="1" si="0"/>
        <v xml:space="preserve">T </v>
      </c>
      <c r="G4" s="12" t="str">
        <f t="shared" ca="1" si="0"/>
        <v xml:space="preserve">LT </v>
      </c>
      <c r="H4" s="12" t="str">
        <f t="shared" ca="1" si="0"/>
        <v xml:space="preserve"> </v>
      </c>
      <c r="I4" s="12" t="str">
        <f t="shared" ca="1" si="0"/>
        <v xml:space="preserve"> </v>
      </c>
      <c r="J4" s="12" t="str">
        <f t="shared" ca="1" si="0"/>
        <v xml:space="preserve"> </v>
      </c>
      <c r="K4" s="12" t="str">
        <f t="shared" ca="1" si="0"/>
        <v xml:space="preserve">LT </v>
      </c>
      <c r="L4" s="12" t="str">
        <f t="shared" ca="1" si="0"/>
        <v xml:space="preserve"> </v>
      </c>
      <c r="M4" s="12" t="str">
        <f t="shared" ca="1" si="0"/>
        <v xml:space="preserve">L </v>
      </c>
      <c r="N4" s="12" t="str">
        <f t="shared" ca="1" si="0"/>
        <v xml:space="preserve">T </v>
      </c>
      <c r="O4" s="12" t="str">
        <f t="shared" ca="1" si="0"/>
        <v xml:space="preserve"> </v>
      </c>
      <c r="P4" s="12" t="str">
        <f t="shared" ca="1" si="0"/>
        <v xml:space="preserve">L </v>
      </c>
      <c r="Q4" s="12" t="str">
        <f t="shared" ca="1" si="0"/>
        <v xml:space="preserve">T </v>
      </c>
    </row>
    <row r="5" spans="2:18" x14ac:dyDescent="0.3">
      <c r="C5" s="12" t="str">
        <f t="shared" ca="1" si="0"/>
        <v xml:space="preserve">L </v>
      </c>
      <c r="D5" s="12" t="str">
        <f t="shared" ca="1" si="0"/>
        <v xml:space="preserve">LT </v>
      </c>
      <c r="E5" s="12" t="str">
        <f t="shared" ca="1" si="0"/>
        <v xml:space="preserve"> </v>
      </c>
      <c r="F5" s="12" t="str">
        <f t="shared" ca="1" si="0"/>
        <v xml:space="preserve"> </v>
      </c>
      <c r="G5" s="12" t="str">
        <f t="shared" ca="1" si="0"/>
        <v xml:space="preserve">L </v>
      </c>
      <c r="H5" s="12" t="str">
        <f t="shared" ca="1" si="0"/>
        <v xml:space="preserve">T </v>
      </c>
      <c r="I5" s="12" t="str">
        <f t="shared" ca="1" si="0"/>
        <v xml:space="preserve">LT </v>
      </c>
      <c r="J5" s="12" t="str">
        <f t="shared" ca="1" si="0"/>
        <v xml:space="preserve">L </v>
      </c>
      <c r="K5" s="12" t="str">
        <f t="shared" ca="1" si="0"/>
        <v xml:space="preserve"> </v>
      </c>
      <c r="L5" s="12" t="str">
        <f t="shared" ca="1" si="0"/>
        <v xml:space="preserve"> </v>
      </c>
      <c r="M5" s="12" t="str">
        <f t="shared" ca="1" si="0"/>
        <v xml:space="preserve">LT </v>
      </c>
      <c r="N5" s="12" t="str">
        <f t="shared" ca="1" si="0"/>
        <v xml:space="preserve"> </v>
      </c>
      <c r="O5" s="12" t="str">
        <f t="shared" ca="1" si="0"/>
        <v xml:space="preserve">LT </v>
      </c>
      <c r="P5" s="12" t="str">
        <f t="shared" ca="1" si="0"/>
        <v xml:space="preserve"> </v>
      </c>
      <c r="Q5" s="12" t="str">
        <f t="shared" ca="1" si="0"/>
        <v xml:space="preserve">T </v>
      </c>
    </row>
    <row r="6" spans="2:18" x14ac:dyDescent="0.3">
      <c r="C6" s="12" t="str">
        <f t="shared" ca="1" si="0"/>
        <v xml:space="preserve">L </v>
      </c>
      <c r="D6" s="12" t="str">
        <f t="shared" ca="1" si="0"/>
        <v xml:space="preserve">L </v>
      </c>
      <c r="E6" s="12" t="str">
        <f t="shared" ca="1" si="0"/>
        <v xml:space="preserve">L </v>
      </c>
      <c r="F6" s="12" t="str">
        <f t="shared" ca="1" si="0"/>
        <v xml:space="preserve"> </v>
      </c>
      <c r="G6" s="12" t="str">
        <f t="shared" ca="1" si="0"/>
        <v xml:space="preserve"> </v>
      </c>
      <c r="H6" s="12" t="str">
        <f t="shared" ca="1" si="0"/>
        <v xml:space="preserve"> </v>
      </c>
      <c r="I6" s="12" t="str">
        <f t="shared" ca="1" si="0"/>
        <v xml:space="preserve">L </v>
      </c>
      <c r="J6" s="12" t="str">
        <f t="shared" ca="1" si="0"/>
        <v xml:space="preserve">L </v>
      </c>
      <c r="K6" s="12" t="str">
        <f t="shared" ca="1" si="0"/>
        <v xml:space="preserve">T </v>
      </c>
      <c r="L6" s="12" t="str">
        <f t="shared" ca="1" si="0"/>
        <v xml:space="preserve">L </v>
      </c>
      <c r="M6" s="12" t="str">
        <f t="shared" ca="1" si="0"/>
        <v xml:space="preserve"> </v>
      </c>
      <c r="N6" s="12" t="str">
        <f t="shared" ca="1" si="0"/>
        <v xml:space="preserve">T </v>
      </c>
      <c r="O6" s="12" t="str">
        <f t="shared" ca="1" si="0"/>
        <v xml:space="preserve">LT </v>
      </c>
      <c r="P6" s="12" t="str">
        <f t="shared" ca="1" si="0"/>
        <v xml:space="preserve">T </v>
      </c>
      <c r="Q6" s="12" t="str">
        <f t="shared" ca="1" si="0"/>
        <v xml:space="preserve">L </v>
      </c>
    </row>
    <row r="7" spans="2:18" x14ac:dyDescent="0.3">
      <c r="C7" s="12" t="str">
        <f t="shared" ca="1" si="0"/>
        <v xml:space="preserve">LT </v>
      </c>
      <c r="D7" s="12" t="str">
        <f t="shared" ca="1" si="0"/>
        <v xml:space="preserve">T </v>
      </c>
      <c r="E7" s="12" t="str">
        <f t="shared" ca="1" si="0"/>
        <v xml:space="preserve">T </v>
      </c>
      <c r="F7" s="12" t="str">
        <f t="shared" ca="1" si="0"/>
        <v xml:space="preserve">T </v>
      </c>
      <c r="G7" s="12" t="str">
        <f t="shared" ca="1" si="0"/>
        <v xml:space="preserve">LT </v>
      </c>
      <c r="H7" s="12" t="str">
        <f t="shared" ca="1" si="0"/>
        <v xml:space="preserve">LT </v>
      </c>
      <c r="I7" s="12" t="str">
        <f t="shared" ca="1" si="0"/>
        <v xml:space="preserve"> </v>
      </c>
      <c r="J7" s="12" t="str">
        <f t="shared" ca="1" si="0"/>
        <v xml:space="preserve">LT </v>
      </c>
      <c r="K7" s="12" t="str">
        <f t="shared" ca="1" si="0"/>
        <v xml:space="preserve"> </v>
      </c>
      <c r="L7" s="12" t="str">
        <f t="shared" ca="1" si="0"/>
        <v xml:space="preserve"> </v>
      </c>
      <c r="M7" s="12" t="str">
        <f t="shared" ca="1" si="0"/>
        <v xml:space="preserve">T </v>
      </c>
      <c r="N7" s="12" t="str">
        <f t="shared" ca="1" si="0"/>
        <v xml:space="preserve"> </v>
      </c>
      <c r="O7" s="12" t="str">
        <f t="shared" ca="1" si="0"/>
        <v xml:space="preserve">L </v>
      </c>
      <c r="P7" s="12" t="str">
        <f t="shared" ca="1" si="0"/>
        <v xml:space="preserve">LT </v>
      </c>
      <c r="Q7" s="12" t="str">
        <f t="shared" ca="1" si="0"/>
        <v xml:space="preserve">LT </v>
      </c>
    </row>
    <row r="8" spans="2:18" x14ac:dyDescent="0.3">
      <c r="C8" s="12" t="str">
        <f t="shared" ca="1" si="0"/>
        <v xml:space="preserve">L </v>
      </c>
      <c r="D8" s="12" t="str">
        <f t="shared" ca="1" si="0"/>
        <v xml:space="preserve">T </v>
      </c>
      <c r="E8" s="12" t="str">
        <f t="shared" ca="1" si="0"/>
        <v xml:space="preserve">T </v>
      </c>
      <c r="F8" s="12" t="str">
        <f t="shared" ca="1" si="0"/>
        <v xml:space="preserve">T </v>
      </c>
      <c r="G8" s="12" t="str">
        <f t="shared" ca="1" si="0"/>
        <v xml:space="preserve"> </v>
      </c>
      <c r="H8" s="12" t="str">
        <f t="shared" ca="1" si="0"/>
        <v xml:space="preserve">LT </v>
      </c>
      <c r="I8" s="12" t="str">
        <f t="shared" ca="1" si="0"/>
        <v xml:space="preserve"> </v>
      </c>
      <c r="J8" s="12" t="str">
        <f t="shared" ca="1" si="0"/>
        <v xml:space="preserve">L </v>
      </c>
      <c r="K8" s="12" t="str">
        <f t="shared" ca="1" si="0"/>
        <v xml:space="preserve">T </v>
      </c>
      <c r="L8" s="12" t="str">
        <f t="shared" ca="1" si="0"/>
        <v xml:space="preserve">T </v>
      </c>
      <c r="M8" s="12" t="str">
        <f t="shared" ca="1" si="0"/>
        <v xml:space="preserve">LT </v>
      </c>
      <c r="N8" s="12" t="str">
        <f t="shared" ca="1" si="0"/>
        <v xml:space="preserve">LT </v>
      </c>
      <c r="O8" s="12" t="str">
        <f t="shared" ca="1" si="0"/>
        <v xml:space="preserve">L </v>
      </c>
      <c r="P8" s="12" t="str">
        <f t="shared" ca="1" si="0"/>
        <v xml:space="preserve">LT </v>
      </c>
      <c r="Q8" s="12" t="str">
        <f t="shared" ca="1" si="0"/>
        <v xml:space="preserve">L </v>
      </c>
    </row>
    <row r="9" spans="2:18" x14ac:dyDescent="0.3">
      <c r="C9" s="12" t="str">
        <f t="shared" ca="1" si="0"/>
        <v xml:space="preserve"> </v>
      </c>
      <c r="D9" s="12" t="str">
        <f t="shared" ca="1" si="0"/>
        <v xml:space="preserve"> </v>
      </c>
      <c r="E9" s="12" t="str">
        <f t="shared" ca="1" si="0"/>
        <v xml:space="preserve">L </v>
      </c>
      <c r="F9" s="12" t="str">
        <f t="shared" ca="1" si="0"/>
        <v xml:space="preserve">T </v>
      </c>
      <c r="G9" s="12" t="str">
        <f t="shared" ca="1" si="0"/>
        <v xml:space="preserve">T </v>
      </c>
      <c r="H9" s="12" t="str">
        <f t="shared" ca="1" si="0"/>
        <v xml:space="preserve">LT </v>
      </c>
      <c r="I9" s="12" t="str">
        <f t="shared" ca="1" si="0"/>
        <v xml:space="preserve">T </v>
      </c>
      <c r="J9" s="12" t="str">
        <f t="shared" ca="1" si="0"/>
        <v xml:space="preserve">L </v>
      </c>
      <c r="K9" s="12" t="str">
        <f t="shared" ca="1" si="0"/>
        <v xml:space="preserve">T </v>
      </c>
      <c r="L9" s="12" t="str">
        <f t="shared" ca="1" si="0"/>
        <v xml:space="preserve">T </v>
      </c>
      <c r="M9" s="12" t="str">
        <f t="shared" ca="1" si="0"/>
        <v xml:space="preserve">T </v>
      </c>
      <c r="N9" s="12" t="str">
        <f t="shared" ca="1" si="0"/>
        <v xml:space="preserve">L </v>
      </c>
      <c r="O9" s="12" t="str">
        <f t="shared" ca="1" si="0"/>
        <v xml:space="preserve">LT </v>
      </c>
      <c r="P9" s="12" t="str">
        <f t="shared" ca="1" si="0"/>
        <v xml:space="preserve"> </v>
      </c>
      <c r="Q9" s="12" t="str">
        <f t="shared" ca="1" si="0"/>
        <v xml:space="preserve">T </v>
      </c>
    </row>
    <row r="10" spans="2:18" x14ac:dyDescent="0.3">
      <c r="C10" s="12" t="str">
        <f t="shared" ca="1" si="0"/>
        <v xml:space="preserve">LT </v>
      </c>
      <c r="D10" s="12" t="str">
        <f t="shared" ca="1" si="0"/>
        <v xml:space="preserve">LT </v>
      </c>
      <c r="E10" s="12" t="str">
        <f t="shared" ca="1" si="0"/>
        <v xml:space="preserve">LT </v>
      </c>
      <c r="F10" s="12" t="str">
        <f t="shared" ca="1" si="0"/>
        <v xml:space="preserve">T </v>
      </c>
      <c r="G10" s="12" t="str">
        <f t="shared" ca="1" si="0"/>
        <v xml:space="preserve">LT </v>
      </c>
      <c r="H10" s="12" t="str">
        <f t="shared" ca="1" si="0"/>
        <v xml:space="preserve">T </v>
      </c>
      <c r="I10" s="12" t="str">
        <f t="shared" ca="1" si="0"/>
        <v xml:space="preserve">LT </v>
      </c>
      <c r="J10" s="12" t="str">
        <f t="shared" ca="1" si="0"/>
        <v xml:space="preserve"> </v>
      </c>
      <c r="K10" s="12" t="str">
        <f t="shared" ca="1" si="0"/>
        <v xml:space="preserve">L </v>
      </c>
      <c r="L10" s="12" t="str">
        <f t="shared" ca="1" si="0"/>
        <v xml:space="preserve">L </v>
      </c>
      <c r="M10" s="12" t="str">
        <f t="shared" ca="1" si="0"/>
        <v xml:space="preserve">L </v>
      </c>
      <c r="N10" s="12" t="str">
        <f t="shared" ca="1" si="0"/>
        <v xml:space="preserve">LT </v>
      </c>
      <c r="O10" s="12" t="str">
        <f t="shared" ca="1" si="0"/>
        <v xml:space="preserve"> </v>
      </c>
      <c r="P10" s="12" t="str">
        <f t="shared" ca="1" si="0"/>
        <v xml:space="preserve"> </v>
      </c>
      <c r="Q10" s="12" t="str">
        <f t="shared" ca="1" si="0"/>
        <v xml:space="preserve">LT </v>
      </c>
    </row>
    <row r="11" spans="2:18" x14ac:dyDescent="0.3">
      <c r="C11" s="12" t="str">
        <f t="shared" ca="1" si="0"/>
        <v xml:space="preserve"> </v>
      </c>
      <c r="D11" s="12" t="str">
        <f t="shared" ca="1" si="0"/>
        <v xml:space="preserve">L </v>
      </c>
      <c r="E11" s="12" t="str">
        <f t="shared" ca="1" si="0"/>
        <v xml:space="preserve"> </v>
      </c>
      <c r="F11" s="12" t="str">
        <f t="shared" ca="1" si="0"/>
        <v xml:space="preserve">L </v>
      </c>
      <c r="G11" s="12" t="str">
        <f t="shared" ca="1" si="0"/>
        <v xml:space="preserve"> </v>
      </c>
      <c r="H11" s="12" t="str">
        <f t="shared" ca="1" si="0"/>
        <v xml:space="preserve">T </v>
      </c>
      <c r="I11" s="12" t="str">
        <f t="shared" ca="1" si="0"/>
        <v xml:space="preserve">T </v>
      </c>
      <c r="J11" s="12" t="str">
        <f t="shared" ca="1" si="0"/>
        <v xml:space="preserve">T </v>
      </c>
      <c r="K11" s="12" t="str">
        <f t="shared" ca="1" si="0"/>
        <v xml:space="preserve">LT </v>
      </c>
      <c r="L11" s="12" t="str">
        <f t="shared" ca="1" si="0"/>
        <v xml:space="preserve">T </v>
      </c>
      <c r="M11" s="12" t="str">
        <f t="shared" ca="1" si="0"/>
        <v xml:space="preserve"> </v>
      </c>
      <c r="N11" s="12" t="str">
        <f t="shared" ca="1" si="0"/>
        <v xml:space="preserve">L </v>
      </c>
      <c r="O11" s="12" t="str">
        <f t="shared" ca="1" si="0"/>
        <v xml:space="preserve">LT </v>
      </c>
      <c r="P11" s="12" t="str">
        <f t="shared" ca="1" si="0"/>
        <v xml:space="preserve"> </v>
      </c>
      <c r="Q11" s="12" t="str">
        <f t="shared" ca="1" si="0"/>
        <v xml:space="preserve">LT </v>
      </c>
    </row>
    <row r="12" spans="2:18" x14ac:dyDescent="0.3">
      <c r="C12" s="12" t="str">
        <f t="shared" ca="1" si="0"/>
        <v xml:space="preserve">LT </v>
      </c>
      <c r="D12" s="12" t="str">
        <f t="shared" ca="1" si="0"/>
        <v xml:space="preserve">T </v>
      </c>
      <c r="E12" s="12" t="str">
        <f t="shared" ca="1" si="0"/>
        <v xml:space="preserve">L </v>
      </c>
      <c r="F12" s="12" t="str">
        <f t="shared" ca="1" si="0"/>
        <v xml:space="preserve">L </v>
      </c>
      <c r="G12" s="12" t="str">
        <f t="shared" ca="1" si="0"/>
        <v xml:space="preserve"> </v>
      </c>
      <c r="H12" s="12" t="str">
        <f t="shared" ca="1" si="0"/>
        <v xml:space="preserve">T </v>
      </c>
      <c r="I12" s="12" t="str">
        <f t="shared" ca="1" si="0"/>
        <v xml:space="preserve">LT </v>
      </c>
      <c r="J12" s="12" t="str">
        <f t="shared" ca="1" si="0"/>
        <v xml:space="preserve"> </v>
      </c>
      <c r="K12" s="12" t="str">
        <f t="shared" ca="1" si="0"/>
        <v xml:space="preserve">LT </v>
      </c>
      <c r="L12" s="12" t="str">
        <f t="shared" ca="1" si="0"/>
        <v xml:space="preserve">L </v>
      </c>
      <c r="M12" s="12" t="str">
        <f t="shared" ca="1" si="0"/>
        <v xml:space="preserve">LT </v>
      </c>
      <c r="N12" s="12" t="str">
        <f t="shared" ca="1" si="0"/>
        <v xml:space="preserve">LT </v>
      </c>
      <c r="O12" s="12" t="str">
        <f t="shared" ca="1" si="0"/>
        <v xml:space="preserve">T </v>
      </c>
      <c r="P12" s="12" t="str">
        <f t="shared" ca="1" si="0"/>
        <v xml:space="preserve">T </v>
      </c>
      <c r="Q12" s="12" t="str">
        <f t="shared" ca="1" si="0"/>
        <v xml:space="preserve">T </v>
      </c>
    </row>
    <row r="13" spans="2:18" x14ac:dyDescent="0.3">
      <c r="C13" s="12" t="str">
        <f t="shared" ca="1" si="0"/>
        <v xml:space="preserve">T </v>
      </c>
      <c r="D13" s="12" t="str">
        <f t="shared" ca="1" si="0"/>
        <v xml:space="preserve"> </v>
      </c>
      <c r="E13" s="12" t="str">
        <f t="shared" ca="1" si="0"/>
        <v xml:space="preserve">LT </v>
      </c>
      <c r="F13" s="12" t="str">
        <f t="shared" ca="1" si="0"/>
        <v xml:space="preserve">T </v>
      </c>
      <c r="G13" s="12" t="str">
        <f t="shared" ca="1" si="0"/>
        <v xml:space="preserve"> </v>
      </c>
      <c r="H13" s="12" t="str">
        <f t="shared" ca="1" si="0"/>
        <v xml:space="preserve">T </v>
      </c>
      <c r="I13" s="12" t="str">
        <f t="shared" ca="1" si="0"/>
        <v xml:space="preserve">T </v>
      </c>
      <c r="J13" s="12" t="str">
        <f t="shared" ca="1" si="0"/>
        <v xml:space="preserve"> </v>
      </c>
      <c r="K13" s="12" t="str">
        <f t="shared" ca="1" si="0"/>
        <v xml:space="preserve">L </v>
      </c>
      <c r="L13" s="12" t="str">
        <f t="shared" ca="1" si="0"/>
        <v xml:space="preserve">L </v>
      </c>
      <c r="M13" s="12" t="str">
        <f t="shared" ca="1" si="0"/>
        <v xml:space="preserve"> </v>
      </c>
      <c r="N13" s="12" t="str">
        <f t="shared" ca="1" si="0"/>
        <v xml:space="preserve">LT </v>
      </c>
      <c r="O13" s="12" t="str">
        <f t="shared" ca="1" si="0"/>
        <v xml:space="preserve">L </v>
      </c>
      <c r="P13" s="12" t="str">
        <f t="shared" ca="1" si="0"/>
        <v xml:space="preserve">T </v>
      </c>
      <c r="Q13" s="12" t="str">
        <f t="shared" ca="1" si="0"/>
        <v xml:space="preserve">L </v>
      </c>
    </row>
    <row r="14" spans="2:18" x14ac:dyDescent="0.3">
      <c r="C14" s="12" t="str">
        <f t="shared" ca="1" si="0"/>
        <v xml:space="preserve">T </v>
      </c>
      <c r="D14" s="12" t="str">
        <f t="shared" ca="1" si="0"/>
        <v xml:space="preserve">L </v>
      </c>
      <c r="E14" s="12" t="str">
        <f t="shared" ca="1" si="0"/>
        <v xml:space="preserve">LT </v>
      </c>
      <c r="F14" s="12" t="str">
        <f t="shared" ca="1" si="0"/>
        <v xml:space="preserve">LT </v>
      </c>
      <c r="G14" s="12" t="str">
        <f t="shared" ca="1" si="0"/>
        <v xml:space="preserve">LT </v>
      </c>
      <c r="H14" s="12" t="str">
        <f t="shared" ca="1" si="0"/>
        <v xml:space="preserve">LT </v>
      </c>
      <c r="I14" s="12" t="str">
        <f t="shared" ca="1" si="0"/>
        <v xml:space="preserve">LT </v>
      </c>
      <c r="J14" s="12" t="str">
        <f t="shared" ca="1" si="0"/>
        <v xml:space="preserve">L </v>
      </c>
      <c r="K14" s="12" t="str">
        <f t="shared" ca="1" si="0"/>
        <v xml:space="preserve">T </v>
      </c>
      <c r="L14" s="12" t="str">
        <f t="shared" ca="1" si="0"/>
        <v xml:space="preserve">T </v>
      </c>
      <c r="M14" s="12" t="str">
        <f t="shared" ca="1" si="0"/>
        <v xml:space="preserve"> </v>
      </c>
      <c r="N14" s="12" t="str">
        <f t="shared" ca="1" si="0"/>
        <v xml:space="preserve">LT </v>
      </c>
      <c r="O14" s="12" t="str">
        <f t="shared" ca="1" si="0"/>
        <v xml:space="preserve">LT </v>
      </c>
      <c r="P14" s="12" t="str">
        <f t="shared" ca="1" si="0"/>
        <v xml:space="preserve">T </v>
      </c>
      <c r="Q14" s="12" t="str">
        <f t="shared" ca="1" si="0"/>
        <v xml:space="preserve">LT </v>
      </c>
    </row>
    <row r="15" spans="2:18" x14ac:dyDescent="0.3">
      <c r="C15" s="12" t="str">
        <f t="shared" ca="1" si="0"/>
        <v xml:space="preserve">LT </v>
      </c>
      <c r="D15" s="12" t="str">
        <f t="shared" ca="1" si="0"/>
        <v xml:space="preserve">LT </v>
      </c>
      <c r="E15" s="12" t="str">
        <f t="shared" ca="1" si="0"/>
        <v xml:space="preserve"> </v>
      </c>
      <c r="F15" s="12" t="str">
        <f t="shared" ca="1" si="0"/>
        <v xml:space="preserve">L </v>
      </c>
      <c r="G15" s="12" t="str">
        <f t="shared" ca="1" si="0"/>
        <v xml:space="preserve"> </v>
      </c>
      <c r="H15" s="12" t="str">
        <f t="shared" ca="1" si="0"/>
        <v xml:space="preserve">T </v>
      </c>
      <c r="I15" s="12" t="str">
        <f t="shared" ca="1" si="0"/>
        <v xml:space="preserve"> </v>
      </c>
      <c r="J15" s="12" t="str">
        <f t="shared" ca="1" si="0"/>
        <v xml:space="preserve"> </v>
      </c>
      <c r="K15" s="12" t="str">
        <f t="shared" ca="1" si="0"/>
        <v xml:space="preserve">LT </v>
      </c>
      <c r="L15" s="12" t="str">
        <f t="shared" ca="1" si="0"/>
        <v xml:space="preserve">T </v>
      </c>
      <c r="M15" s="12" t="str">
        <f t="shared" ca="1" si="0"/>
        <v xml:space="preserve"> </v>
      </c>
      <c r="N15" s="12" t="str">
        <f t="shared" ca="1" si="0"/>
        <v xml:space="preserve">T </v>
      </c>
      <c r="O15" s="12" t="str">
        <f t="shared" ca="1" si="0"/>
        <v xml:space="preserve"> </v>
      </c>
      <c r="P15" s="12" t="str">
        <f t="shared" ca="1" si="0"/>
        <v xml:space="preserve">L </v>
      </c>
      <c r="Q15" s="12" t="str">
        <f t="shared" ca="1" si="0"/>
        <v xml:space="preserve">L </v>
      </c>
    </row>
    <row r="16" spans="2:18" x14ac:dyDescent="0.3">
      <c r="C16" s="12" t="str">
        <f t="shared" ca="1" si="0"/>
        <v xml:space="preserve">T </v>
      </c>
      <c r="D16" s="12" t="str">
        <f t="shared" ca="1" si="0"/>
        <v xml:space="preserve">L </v>
      </c>
      <c r="E16" s="12" t="str">
        <f t="shared" ca="1" si="0"/>
        <v xml:space="preserve">LT </v>
      </c>
      <c r="F16" s="12" t="str">
        <f t="shared" ca="1" si="0"/>
        <v xml:space="preserve">L </v>
      </c>
      <c r="G16" s="12" t="str">
        <f t="shared" ca="1" si="0"/>
        <v xml:space="preserve"> </v>
      </c>
      <c r="H16" s="12" t="str">
        <f t="shared" ca="1" si="0"/>
        <v xml:space="preserve">LT </v>
      </c>
      <c r="I16" s="12" t="str">
        <f t="shared" ca="1" si="0"/>
        <v xml:space="preserve"> </v>
      </c>
      <c r="J16" s="12" t="str">
        <f t="shared" ca="1" si="0"/>
        <v xml:space="preserve">T </v>
      </c>
      <c r="K16" s="12" t="str">
        <f t="shared" ca="1" si="0"/>
        <v xml:space="preserve">L </v>
      </c>
      <c r="L16" s="12" t="str">
        <f t="shared" ca="1" si="0"/>
        <v xml:space="preserve">LT </v>
      </c>
      <c r="M16" s="12" t="str">
        <f t="shared" ca="1" si="0"/>
        <v xml:space="preserve">T </v>
      </c>
      <c r="N16" s="12" t="str">
        <f t="shared" ca="1" si="0"/>
        <v xml:space="preserve">LT </v>
      </c>
      <c r="O16" s="12" t="str">
        <f t="shared" ca="1" si="0"/>
        <v xml:space="preserve">T </v>
      </c>
      <c r="P16" s="12" t="str">
        <f t="shared" ca="1" si="0"/>
        <v xml:space="preserve">L </v>
      </c>
      <c r="Q16" s="12" t="str">
        <f t="shared" ca="1" si="0"/>
        <v xml:space="preserve">T </v>
      </c>
      <c r="R16" s="14" t="s">
        <v>4</v>
      </c>
    </row>
    <row r="17" spans="3:17" x14ac:dyDescent="0.3">
      <c r="C17" s="12" t="str">
        <f t="shared" ca="1" si="0"/>
        <v xml:space="preserve">LT </v>
      </c>
      <c r="D17" s="12" t="str">
        <f t="shared" ca="1" si="0"/>
        <v xml:space="preserve"> </v>
      </c>
      <c r="E17" s="12" t="str">
        <f t="shared" ca="1" si="0"/>
        <v xml:space="preserve">T </v>
      </c>
      <c r="F17" s="12" t="str">
        <f t="shared" ca="1" si="0"/>
        <v xml:space="preserve">L </v>
      </c>
      <c r="G17" s="12" t="str">
        <f t="shared" ca="1" si="0"/>
        <v xml:space="preserve"> </v>
      </c>
      <c r="H17" s="12" t="str">
        <f t="shared" ca="1" si="0"/>
        <v xml:space="preserve">L </v>
      </c>
      <c r="I17" s="12" t="str">
        <f t="shared" ca="1" si="0"/>
        <v xml:space="preserve">T </v>
      </c>
      <c r="J17" s="12" t="str">
        <f t="shared" ca="1" si="0"/>
        <v xml:space="preserve">LT </v>
      </c>
      <c r="K17" s="12" t="str">
        <f t="shared" ca="1" si="0"/>
        <v xml:space="preserve">T </v>
      </c>
      <c r="L17" s="12" t="str">
        <f t="shared" ca="1" si="0"/>
        <v xml:space="preserve">LT </v>
      </c>
      <c r="M17" s="12" t="str">
        <f t="shared" ca="1" si="0"/>
        <v xml:space="preserve">T </v>
      </c>
      <c r="N17" s="12" t="str">
        <f t="shared" ca="1" si="0"/>
        <v xml:space="preserve"> </v>
      </c>
      <c r="O17" s="12" t="str">
        <f t="shared" ca="1" si="0"/>
        <v xml:space="preserve"> </v>
      </c>
      <c r="P17" s="12" t="str">
        <f t="shared" ca="1" si="0"/>
        <v xml:space="preserve">T </v>
      </c>
      <c r="Q17" s="12" t="str">
        <f t="shared" ca="1" si="0"/>
        <v xml:space="preserve">L </v>
      </c>
    </row>
  </sheetData>
  <conditionalFormatting sqref="D3:G3">
    <cfRule type="expression" dxfId="20" priority="6">
      <formula>NOT(ISERROR(FIND("T",D3)))</formula>
    </cfRule>
  </conditionalFormatting>
  <conditionalFormatting sqref="Q8">
    <cfRule type="expression" dxfId="19" priority="14">
      <formula>Q9=""</formula>
    </cfRule>
    <cfRule type="expression" dxfId="18" priority="15">
      <formula>R16=""</formula>
    </cfRule>
    <cfRule type="expression" dxfId="17" priority="16">
      <formula>Q7=""</formula>
    </cfRule>
    <cfRule type="expression" dxfId="16" priority="17">
      <formula>P8=""</formula>
    </cfRule>
    <cfRule type="expression" dxfId="15" priority="18">
      <formula>NOT(ISERROR(FIND("L",Q8)))</formula>
    </cfRule>
    <cfRule type="expression" dxfId="14" priority="19">
      <formula>NOT(ISERROR(FIND("T",Q8)))</formula>
    </cfRule>
  </conditionalFormatting>
  <conditionalFormatting sqref="Q16">
    <cfRule type="expression" dxfId="13" priority="20">
      <formula>Q17=""</formula>
    </cfRule>
    <cfRule type="expression" dxfId="12" priority="21">
      <formula>#REF!=""</formula>
    </cfRule>
    <cfRule type="expression" dxfId="11" priority="22">
      <formula>Q15=""</formula>
    </cfRule>
    <cfRule type="expression" dxfId="10" priority="23">
      <formula>P16=""</formula>
    </cfRule>
    <cfRule type="expression" dxfId="9" priority="24">
      <formula>NOT(ISERROR(FIND("L",Q16)))</formula>
    </cfRule>
    <cfRule type="expression" dxfId="8" priority="25">
      <formula>NOT(ISERROR(FIND("T",Q16)))</formula>
    </cfRule>
  </conditionalFormatting>
  <conditionalFormatting sqref="C3:Q17">
    <cfRule type="expression" dxfId="7" priority="1">
      <formula>C4=""</formula>
    </cfRule>
    <cfRule type="expression" dxfId="6" priority="2">
      <formula>D3=""</formula>
    </cfRule>
    <cfRule type="expression" dxfId="5" priority="3">
      <formula>C2=""</formula>
    </cfRule>
    <cfRule type="expression" dxfId="4" priority="4">
      <formula>B3=""</formula>
    </cfRule>
    <cfRule type="expression" dxfId="3" priority="5">
      <formula>NOT(ISERROR(FIND("L",C3)))</formula>
    </cfRule>
    <cfRule type="expression" dxfId="2" priority="7">
      <formula>NOT(ISERROR(FIND("T",C3)))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138C-DBF3-4780-B638-126F3606C47C}">
  <sheetPr codeName="Sheet1"/>
  <dimension ref="B2:AJ17"/>
  <sheetViews>
    <sheetView showGridLines="0" workbookViewId="0"/>
  </sheetViews>
  <sheetFormatPr defaultRowHeight="14.4" x14ac:dyDescent="0.3"/>
  <cols>
    <col min="1" max="1" width="3.44140625" customWidth="1"/>
    <col min="2" max="2" width="12.88671875" bestFit="1" customWidth="1"/>
    <col min="4" max="4" width="8.88671875" style="1"/>
    <col min="5" max="19" width="3.88671875" style="11" customWidth="1"/>
    <col min="22" max="36" width="3.88671875" customWidth="1"/>
  </cols>
  <sheetData>
    <row r="2" spans="2:36" x14ac:dyDescent="0.3">
      <c r="B2" s="28" t="s">
        <v>0</v>
      </c>
      <c r="C2" s="26">
        <v>0</v>
      </c>
      <c r="E2" s="24" t="s">
        <v>6</v>
      </c>
      <c r="V2" s="25" t="s">
        <v>5</v>
      </c>
    </row>
    <row r="3" spans="2:36" x14ac:dyDescent="0.3">
      <c r="B3" s="29" t="s">
        <v>1</v>
      </c>
      <c r="C3" s="30" t="b">
        <f ca="1">AND(S16&lt;&gt;"",Score&lt;MaxScore)</f>
        <v>1</v>
      </c>
      <c r="D3" s="1" t="str">
        <f>IF(maze!B3="","",1)</f>
        <v/>
      </c>
      <c r="E3" s="2">
        <f ca="1">IF(Reset=1,"",IF(AND(ISNUMBER(D3),ISERROR(FIND("L",maze!C3))),D3+1,IF(AND(ISNUMBER(E2),ISERROR(FIND("T",maze!C3))),E2+1,IF(AND(ISNUMBER(F3),ISERROR(FIND("L",maze!D3))),F3+1,IF(AND(ISNUMBER(E4),ISERROR(FIND("T",maze!C4))),E4+1,"")))))</f>
        <v>41</v>
      </c>
      <c r="F3" s="3">
        <f ca="1">IF(Reset=1,"",IF(AND(ISNUMBER(E3),ISERROR(FIND("L",maze!D3))),E3+1,IF(AND(ISNUMBER(F2),ISERROR(FIND("T",maze!D3))),F2+1,IF(AND(ISNUMBER(G3),ISERROR(FIND("L",maze!E3))),G3+1,IF(AND(ISNUMBER(F4),ISERROR(FIND("T",maze!D4))),F4+1,"")))))</f>
        <v>42</v>
      </c>
      <c r="G3" s="3">
        <f ca="1">IF(Reset=1,"",IF(AND(ISNUMBER(F3),ISERROR(FIND("L",maze!E3))),F3+1,IF(AND(ISNUMBER(G2),ISERROR(FIND("T",maze!E3))),G2+1,IF(AND(ISNUMBER(H3),ISERROR(FIND("L",maze!F3))),H3+1,IF(AND(ISNUMBER(G4),ISERROR(FIND("T",maze!E4))),G4+1,"")))))</f>
        <v>43</v>
      </c>
      <c r="H3" s="3">
        <f ca="1">IF(Reset=1,"",IF(AND(ISNUMBER(G3),ISERROR(FIND("L",maze!F3))),G3+1,IF(AND(ISNUMBER(H2),ISERROR(FIND("T",maze!F3))),H2+1,IF(AND(ISNUMBER(I3),ISERROR(FIND("L",maze!G3))),I3+1,IF(AND(ISNUMBER(H4),ISERROR(FIND("T",maze!F4))),H4+1,"")))))</f>
        <v>44</v>
      </c>
      <c r="I3" s="3">
        <f ca="1">IF(Reset=1,"",IF(AND(ISNUMBER(H3),ISERROR(FIND("L",maze!G3))),H3+1,IF(AND(ISNUMBER(I2),ISERROR(FIND("T",maze!G3))),I2+1,IF(AND(ISNUMBER(J3),ISERROR(FIND("L",maze!H3))),J3+1,IF(AND(ISNUMBER(I4),ISERROR(FIND("T",maze!G4))),I4+1,"")))))</f>
        <v>45</v>
      </c>
      <c r="J3" s="3">
        <f ca="1">IF(Reset=1,"",IF(AND(ISNUMBER(I3),ISERROR(FIND("L",maze!H3))),I3+1,IF(AND(ISNUMBER(J2),ISERROR(FIND("T",maze!H3))),J2+1,IF(AND(ISNUMBER(K3),ISERROR(FIND("L",maze!I3))),K3+1,IF(AND(ISNUMBER(J4),ISERROR(FIND("T",maze!H4))),J4+1,"")))))</f>
        <v>46</v>
      </c>
      <c r="K3" s="3">
        <f ca="1">IF(Reset=1,"",IF(AND(ISNUMBER(J3),ISERROR(FIND("L",maze!I3))),J3+1,IF(AND(ISNUMBER(K2),ISERROR(FIND("T",maze!I3))),K2+1,IF(AND(ISNUMBER(L3),ISERROR(FIND("L",maze!J3))),L3+1,IF(AND(ISNUMBER(K4),ISERROR(FIND("T",maze!I4))),K4+1,"")))))</f>
        <v>47</v>
      </c>
      <c r="L3" s="3">
        <f ca="1">IF(Reset=1,"",IF(AND(ISNUMBER(K3),ISERROR(FIND("L",maze!J3))),K3+1,IF(AND(ISNUMBER(L2),ISERROR(FIND("T",maze!J3))),L2+1,IF(AND(ISNUMBER(M3),ISERROR(FIND("L",maze!K3))),M3+1,IF(AND(ISNUMBER(L4),ISERROR(FIND("T",maze!J4))),L4+1,"")))))</f>
        <v>48</v>
      </c>
      <c r="M3" s="3" t="str">
        <f ca="1">IF(Reset=1,"",IF(AND(ISNUMBER(L3),ISERROR(FIND("L",maze!K3))),L3+1,IF(AND(ISNUMBER(M2),ISERROR(FIND("T",maze!K3))),M2+1,IF(AND(ISNUMBER(N3),ISERROR(FIND("L",maze!L3))),N3+1,IF(AND(ISNUMBER(M4),ISERROR(FIND("T",maze!K4))),M4+1,"")))))</f>
        <v/>
      </c>
      <c r="N3" s="3">
        <f ca="1">IF(Reset=1,"",IF(AND(ISNUMBER(M3),ISERROR(FIND("L",maze!L3))),M3+1,IF(AND(ISNUMBER(N2),ISERROR(FIND("T",maze!L3))),N2+1,IF(AND(ISNUMBER(O3),ISERROR(FIND("L",maze!M3))),O3+1,IF(AND(ISNUMBER(N4),ISERROR(FIND("T",maze!L4))),N4+1,"")))))</f>
        <v>50</v>
      </c>
      <c r="O3" s="3">
        <f ca="1">IF(Reset=1,"",IF(AND(ISNUMBER(N3),ISERROR(FIND("L",maze!M3))),N3+1,IF(AND(ISNUMBER(O2),ISERROR(FIND("T",maze!M3))),O2+1,IF(AND(ISNUMBER(P3),ISERROR(FIND("L",maze!N3))),P3+1,IF(AND(ISNUMBER(O4),ISERROR(FIND("T",maze!M4))),O4+1,"")))))</f>
        <v>51</v>
      </c>
      <c r="P3" s="3">
        <f ca="1">IF(Reset=1,"",IF(AND(ISNUMBER(O3),ISERROR(FIND("L",maze!N3))),O3+1,IF(AND(ISNUMBER(P2),ISERROR(FIND("T",maze!N3))),P2+1,IF(AND(ISNUMBER(Q3),ISERROR(FIND("L",maze!O3))),Q3+1,IF(AND(ISNUMBER(P4),ISERROR(FIND("T",maze!N4))),P4+1,"")))))</f>
        <v>52</v>
      </c>
      <c r="Q3" s="3">
        <f ca="1">IF(Reset=1,"",IF(AND(ISNUMBER(P3),ISERROR(FIND("L",maze!O3))),P3+1,IF(AND(ISNUMBER(Q2),ISERROR(FIND("T",maze!O3))),Q2+1,IF(AND(ISNUMBER(R3),ISERROR(FIND("L",maze!P3))),R3+1,IF(AND(ISNUMBER(Q4),ISERROR(FIND("T",maze!O4))),Q4+1,"")))))</f>
        <v>53</v>
      </c>
      <c r="R3" s="3">
        <f ca="1">IF(Reset=1,"",IF(AND(ISNUMBER(Q3),ISERROR(FIND("L",maze!P3))),Q3+1,IF(AND(ISNUMBER(R2),ISERROR(FIND("T",maze!P3))),R2+1,IF(AND(ISNUMBER(S3),ISERROR(FIND("L",maze!Q3))),S3+1,IF(AND(ISNUMBER(R4),ISERROR(FIND("T",maze!P4))),R4+1,"")))))</f>
        <v>54</v>
      </c>
      <c r="S3" s="4" t="str">
        <f ca="1">IF(Reset=1,"",IF(AND(ISNUMBER(R3),ISERROR(FIND("L",maze!Q3))),R3+1,IF(AND(ISNUMBER(S2),ISERROR(FIND("T",maze!Q3))),S2+1,IF(AND(ISNUMBER(T3),ISERROR(FIND("L",maze!R3))),T3+1,IF(AND(ISNUMBER(S4),ISERROR(FIND("T",maze!Q4))),S4+1,"")))))</f>
        <v/>
      </c>
      <c r="T3" t="str">
        <f>IF(maze!R3="","",maze!R3)</f>
        <v/>
      </c>
      <c r="V3" s="15">
        <f>1-(ABS(COLUMN()-COLUMN($V$3)-7)/15+ABS(ROW()-ROW($V$3)-7)/15)^2</f>
        <v>0.12888888888888883</v>
      </c>
      <c r="W3" s="16">
        <f>1-(ABS(COLUMN()-COLUMN($V$3)-7)/15+ABS(ROW()-ROW($V$3)-7)/15)^2</f>
        <v>0.24888888888888883</v>
      </c>
      <c r="X3" s="16">
        <f>1-(ABS(COLUMN()-COLUMN($V$3)-7)/15+ABS(ROW()-ROW($V$3)-7)/15)^2</f>
        <v>0.35999999999999988</v>
      </c>
      <c r="Y3" s="16">
        <f>1-(ABS(COLUMN()-COLUMN($V$3)-7)/15+ABS(ROW()-ROW($V$3)-7)/15)^2</f>
        <v>0.46222222222222209</v>
      </c>
      <c r="Z3" s="16">
        <f>1-(ABS(COLUMN()-COLUMN($V$3)-7)/15+ABS(ROW()-ROW($V$3)-7)/15)^2</f>
        <v>0.55555555555555547</v>
      </c>
      <c r="AA3" s="16">
        <f>1-(ABS(COLUMN()-COLUMN($V$3)-7)/15+ABS(ROW()-ROW($V$3)-7)/15)^2</f>
        <v>0.64</v>
      </c>
      <c r="AB3" s="16">
        <f>1-(ABS(COLUMN()-COLUMN($V$3)-7)/15+ABS(ROW()-ROW($V$3)-7)/15)^2</f>
        <v>0.7155555555555555</v>
      </c>
      <c r="AC3" s="16">
        <f>1-(ABS(COLUMN()-COLUMN($V$3)-7)/15+ABS(ROW()-ROW($V$3)-7)/15)^2</f>
        <v>0.78222222222222215</v>
      </c>
      <c r="AD3" s="16">
        <f>1-(ABS(COLUMN()-COLUMN($V$3)-7)/15+ABS(ROW()-ROW($V$3)-7)/15)^2</f>
        <v>0.7155555555555555</v>
      </c>
      <c r="AE3" s="16">
        <f>1-(ABS(COLUMN()-COLUMN($V$3)-7)/15+ABS(ROW()-ROW($V$3)-7)/15)^2</f>
        <v>0.64</v>
      </c>
      <c r="AF3" s="16">
        <f>1-(ABS(COLUMN()-COLUMN($V$3)-7)/15+ABS(ROW()-ROW($V$3)-7)/15)^2</f>
        <v>0.55555555555555547</v>
      </c>
      <c r="AG3" s="16">
        <f>1-(ABS(COLUMN()-COLUMN($V$3)-7)/15+ABS(ROW()-ROW($V$3)-7)/15)^2</f>
        <v>0.46222222222222209</v>
      </c>
      <c r="AH3" s="16">
        <f>1-(ABS(COLUMN()-COLUMN($V$3)-7)/15+ABS(ROW()-ROW($V$3)-7)/15)^2</f>
        <v>0.35999999999999988</v>
      </c>
      <c r="AI3" s="16">
        <f>1-(ABS(COLUMN()-COLUMN($V$3)-7)/15+ABS(ROW()-ROW($V$3)-7)/15)^2</f>
        <v>0.24888888888888883</v>
      </c>
      <c r="AJ3" s="17">
        <f>1-(ABS(COLUMN()-COLUMN($V$3)-7)/15+ABS(ROW()-ROW($V$3)-7)/15)^2</f>
        <v>0.12888888888888883</v>
      </c>
    </row>
    <row r="4" spans="2:36" x14ac:dyDescent="0.3">
      <c r="B4" s="31" t="s">
        <v>7</v>
      </c>
      <c r="C4" s="27">
        <f ca="1">SUMIF($E$3:$S$17,"&gt;0",$V$3:$AJ$17)</f>
        <v>98.177777777777749</v>
      </c>
      <c r="D4" s="1">
        <f>IF(maze!B4="","",1)</f>
        <v>1</v>
      </c>
      <c r="E4" s="5">
        <f ca="1">IF(Reset=1,"",IF(AND(ISNUMBER(D4),ISERROR(FIND("L",maze!C4))),D4+1,IF(AND(ISNUMBER(E3),ISERROR(FIND("T",maze!C4))),E3+1,IF(AND(ISNUMBER(F4),ISERROR(FIND("L",maze!D4))),F4+1,IF(AND(ISNUMBER(E5),ISERROR(FIND("T",maze!C5))),E5+1,"")))))</f>
        <v>2</v>
      </c>
      <c r="F4" s="6">
        <f ca="1">IF(Reset=1,"",IF(AND(ISNUMBER(E4),ISERROR(FIND("L",maze!D4))),E4+1,IF(AND(ISNUMBER(F3),ISERROR(FIND("T",maze!D4))),F3+1,IF(AND(ISNUMBER(G4),ISERROR(FIND("L",maze!E4))),G4+1,IF(AND(ISNUMBER(F5),ISERROR(FIND("T",maze!D5))),F5+1,"")))))</f>
        <v>3</v>
      </c>
      <c r="G4" s="6">
        <f ca="1">IF(Reset=1,"",IF(AND(ISNUMBER(F4),ISERROR(FIND("L",maze!E4))),F4+1,IF(AND(ISNUMBER(G3),ISERROR(FIND("T",maze!E4))),G3+1,IF(AND(ISNUMBER(H4),ISERROR(FIND("L",maze!F4))),H4+1,IF(AND(ISNUMBER(G5),ISERROR(FIND("T",maze!E5))),G5+1,"")))))</f>
        <v>4</v>
      </c>
      <c r="H4" s="6">
        <f ca="1">IF(Reset=1,"",IF(AND(ISNUMBER(G4),ISERROR(FIND("L",maze!F4))),G4+1,IF(AND(ISNUMBER(H3),ISERROR(FIND("T",maze!F4))),H3+1,IF(AND(ISNUMBER(I4),ISERROR(FIND("L",maze!G4))),I4+1,IF(AND(ISNUMBER(H5),ISERROR(FIND("T",maze!F5))),H5+1,"")))))</f>
        <v>5</v>
      </c>
      <c r="I4" s="6">
        <f ca="1">IF(Reset=1,"",IF(AND(ISNUMBER(H4),ISERROR(FIND("L",maze!G4))),H4+1,IF(AND(ISNUMBER(I3),ISERROR(FIND("T",maze!G4))),I3+1,IF(AND(ISNUMBER(J4),ISERROR(FIND("L",maze!H4))),J4+1,IF(AND(ISNUMBER(I5),ISERROR(FIND("T",maze!G5))),I5+1,"")))))</f>
        <v>46</v>
      </c>
      <c r="J4" s="6">
        <f ca="1">IF(Reset=1,"",IF(AND(ISNUMBER(I4),ISERROR(FIND("L",maze!H4))),I4+1,IF(AND(ISNUMBER(J3),ISERROR(FIND("T",maze!H4))),J3+1,IF(AND(ISNUMBER(K4),ISERROR(FIND("L",maze!I4))),K4+1,IF(AND(ISNUMBER(J5),ISERROR(FIND("T",maze!H5))),J5+1,"")))))</f>
        <v>47</v>
      </c>
      <c r="K4" s="6">
        <f ca="1">IF(Reset=1,"",IF(AND(ISNUMBER(J4),ISERROR(FIND("L",maze!I4))),J4+1,IF(AND(ISNUMBER(K3),ISERROR(FIND("T",maze!I4))),K3+1,IF(AND(ISNUMBER(L4),ISERROR(FIND("L",maze!J4))),L4+1,IF(AND(ISNUMBER(K5),ISERROR(FIND("T",maze!I5))),K5+1,"")))))</f>
        <v>48</v>
      </c>
      <c r="L4" s="6">
        <f ca="1">IF(Reset=1,"",IF(AND(ISNUMBER(K4),ISERROR(FIND("L",maze!J4))),K4+1,IF(AND(ISNUMBER(L3),ISERROR(FIND("T",maze!J4))),L3+1,IF(AND(ISNUMBER(M4),ISERROR(FIND("L",maze!K4))),M4+1,IF(AND(ISNUMBER(L5),ISERROR(FIND("T",maze!J5))),L5+1,"")))))</f>
        <v>49</v>
      </c>
      <c r="M4" s="6">
        <f ca="1">IF(Reset=1,"",IF(AND(ISNUMBER(L4),ISERROR(FIND("L",maze!K4))),L4+1,IF(AND(ISNUMBER(M3),ISERROR(FIND("T",maze!K4))),M3+1,IF(AND(ISNUMBER(N4),ISERROR(FIND("L",maze!L4))),N4+1,IF(AND(ISNUMBER(M5),ISERROR(FIND("T",maze!K5))),M5+1,"")))))</f>
        <v>50</v>
      </c>
      <c r="N4" s="6">
        <f ca="1">IF(Reset=1,"",IF(AND(ISNUMBER(M4),ISERROR(FIND("L",maze!L4))),M4+1,IF(AND(ISNUMBER(N3),ISERROR(FIND("T",maze!L4))),N3+1,IF(AND(ISNUMBER(O4),ISERROR(FIND("L",maze!M4))),O4+1,IF(AND(ISNUMBER(N5),ISERROR(FIND("T",maze!L5))),N5+1,"")))))</f>
        <v>51</v>
      </c>
      <c r="O4" s="6">
        <f ca="1">IF(Reset=1,"",IF(AND(ISNUMBER(N4),ISERROR(FIND("L",maze!M4))),N4+1,IF(AND(ISNUMBER(O3),ISERROR(FIND("T",maze!M4))),O3+1,IF(AND(ISNUMBER(P4),ISERROR(FIND("L",maze!N4))),P4+1,IF(AND(ISNUMBER(O5),ISERROR(FIND("T",maze!M5))),O5+1,"")))))</f>
        <v>52</v>
      </c>
      <c r="P4" s="6">
        <f ca="1">IF(Reset=1,"",IF(AND(ISNUMBER(O4),ISERROR(FIND("L",maze!N4))),O4+1,IF(AND(ISNUMBER(P3),ISERROR(FIND("T",maze!N4))),P3+1,IF(AND(ISNUMBER(Q4),ISERROR(FIND("L",maze!O4))),Q4+1,IF(AND(ISNUMBER(P5),ISERROR(FIND("T",maze!N5))),P5+1,"")))))</f>
        <v>53</v>
      </c>
      <c r="Q4" s="6">
        <f ca="1">IF(Reset=1,"",IF(AND(ISNUMBER(P4),ISERROR(FIND("L",maze!O4))),P4+1,IF(AND(ISNUMBER(Q3),ISERROR(FIND("T",maze!O4))),Q3+1,IF(AND(ISNUMBER(R4),ISERROR(FIND("L",maze!P4))),R4+1,IF(AND(ISNUMBER(Q5),ISERROR(FIND("T",maze!O5))),Q5+1,"")))))</f>
        <v>54</v>
      </c>
      <c r="R4" s="6">
        <f ca="1">IF(Reset=1,"",IF(AND(ISNUMBER(Q4),ISERROR(FIND("L",maze!P4))),Q4+1,IF(AND(ISNUMBER(R3),ISERROR(FIND("T",maze!P4))),R3+1,IF(AND(ISNUMBER(S4),ISERROR(FIND("L",maze!Q4))),S4+1,IF(AND(ISNUMBER(R5),ISERROR(FIND("T",maze!P5))),R5+1,"")))))</f>
        <v>55</v>
      </c>
      <c r="S4" s="7">
        <f ca="1">IF(Reset=1,"",IF(AND(ISNUMBER(R4),ISERROR(FIND("L",maze!Q4))),R4+1,IF(AND(ISNUMBER(S3),ISERROR(FIND("T",maze!Q4))),S3+1,IF(AND(ISNUMBER(T4),ISERROR(FIND("L",maze!R4))),T4+1,IF(AND(ISNUMBER(S5),ISERROR(FIND("T",maze!Q5))),S5+1,"")))))</f>
        <v>56</v>
      </c>
      <c r="T4" t="str">
        <f>IF(maze!R4="","",maze!R4)</f>
        <v/>
      </c>
      <c r="V4" s="18">
        <f>1-(ABS(COLUMN()-COLUMN($V$3)-7)/15+ABS(ROW()-ROW($V$3)-7)/15)^2</f>
        <v>0.24888888888888883</v>
      </c>
      <c r="W4" s="19">
        <f>1-(ABS(COLUMN()-COLUMN($V$3)-7)/15+ABS(ROW()-ROW($V$3)-7)/15)^2</f>
        <v>0.35999999999999988</v>
      </c>
      <c r="X4" s="19">
        <f>1-(ABS(COLUMN()-COLUMN($V$3)-7)/15+ABS(ROW()-ROW($V$3)-7)/15)^2</f>
        <v>0.46222222222222209</v>
      </c>
      <c r="Y4" s="19">
        <f>1-(ABS(COLUMN()-COLUMN($V$3)-7)/15+ABS(ROW()-ROW($V$3)-7)/15)^2</f>
        <v>0.55555555555555547</v>
      </c>
      <c r="Z4" s="19">
        <f>1-(ABS(COLUMN()-COLUMN($V$3)-7)/15+ABS(ROW()-ROW($V$3)-7)/15)^2</f>
        <v>0.6399999999999999</v>
      </c>
      <c r="AA4" s="19">
        <f>1-(ABS(COLUMN()-COLUMN($V$3)-7)/15+ABS(ROW()-ROW($V$3)-7)/15)^2</f>
        <v>0.7155555555555555</v>
      </c>
      <c r="AB4" s="19">
        <f>1-(ABS(COLUMN()-COLUMN($V$3)-7)/15+ABS(ROW()-ROW($V$3)-7)/15)^2</f>
        <v>0.78222222222222215</v>
      </c>
      <c r="AC4" s="19">
        <f>1-(ABS(COLUMN()-COLUMN($V$3)-7)/15+ABS(ROW()-ROW($V$3)-7)/15)^2</f>
        <v>0.84</v>
      </c>
      <c r="AD4" s="19">
        <f>1-(ABS(COLUMN()-COLUMN($V$3)-7)/15+ABS(ROW()-ROW($V$3)-7)/15)^2</f>
        <v>0.78222222222222215</v>
      </c>
      <c r="AE4" s="19">
        <f>1-(ABS(COLUMN()-COLUMN($V$3)-7)/15+ABS(ROW()-ROW($V$3)-7)/15)^2</f>
        <v>0.7155555555555555</v>
      </c>
      <c r="AF4" s="19">
        <f>1-(ABS(COLUMN()-COLUMN($V$3)-7)/15+ABS(ROW()-ROW($V$3)-7)/15)^2</f>
        <v>0.6399999999999999</v>
      </c>
      <c r="AG4" s="19">
        <f>1-(ABS(COLUMN()-COLUMN($V$3)-7)/15+ABS(ROW()-ROW($V$3)-7)/15)^2</f>
        <v>0.55555555555555547</v>
      </c>
      <c r="AH4" s="19">
        <f>1-(ABS(COLUMN()-COLUMN($V$3)-7)/15+ABS(ROW()-ROW($V$3)-7)/15)^2</f>
        <v>0.46222222222222209</v>
      </c>
      <c r="AI4" s="19">
        <f>1-(ABS(COLUMN()-COLUMN($V$3)-7)/15+ABS(ROW()-ROW($V$3)-7)/15)^2</f>
        <v>0.35999999999999988</v>
      </c>
      <c r="AJ4" s="20">
        <f>1-(ABS(COLUMN()-COLUMN($V$3)-7)/15+ABS(ROW()-ROW($V$3)-7)/15)^2</f>
        <v>0.24888888888888883</v>
      </c>
    </row>
    <row r="5" spans="2:36" x14ac:dyDescent="0.3">
      <c r="D5" s="1" t="str">
        <f>IF(maze!B5="","",1)</f>
        <v/>
      </c>
      <c r="E5" s="5">
        <f ca="1">IF(Reset=1,"",IF(AND(ISNUMBER(D5),ISERROR(FIND("L",maze!C5))),D5+1,IF(AND(ISNUMBER(E4),ISERROR(FIND("T",maze!C5))),E4+1,IF(AND(ISNUMBER(F5),ISERROR(FIND("L",maze!D5))),F5+1,IF(AND(ISNUMBER(E6),ISERROR(FIND("T",maze!C6))),E6+1,"")))))</f>
        <v>3</v>
      </c>
      <c r="F5" s="6">
        <f ca="1">IF(Reset=1,"",IF(AND(ISNUMBER(E5),ISERROR(FIND("L",maze!D5))),E5+1,IF(AND(ISNUMBER(F4),ISERROR(FIND("T",maze!D5))),F4+1,IF(AND(ISNUMBER(G5),ISERROR(FIND("L",maze!E5))),G5+1,IF(AND(ISNUMBER(F6),ISERROR(FIND("T",maze!D6))),F6+1,"")))))</f>
        <v>42</v>
      </c>
      <c r="G5" s="6">
        <f ca="1">IF(Reset=1,"",IF(AND(ISNUMBER(F5),ISERROR(FIND("L",maze!E5))),F5+1,IF(AND(ISNUMBER(G4),ISERROR(FIND("T",maze!E5))),G4+1,IF(AND(ISNUMBER(H5),ISERROR(FIND("L",maze!F5))),H5+1,IF(AND(ISNUMBER(G6),ISERROR(FIND("T",maze!E6))),G6+1,"")))))</f>
        <v>43</v>
      </c>
      <c r="H5" s="6">
        <f ca="1">IF(Reset=1,"",IF(AND(ISNUMBER(G5),ISERROR(FIND("L",maze!F5))),G5+1,IF(AND(ISNUMBER(H4),ISERROR(FIND("T",maze!F5))),H4+1,IF(AND(ISNUMBER(I5),ISERROR(FIND("L",maze!G5))),I5+1,IF(AND(ISNUMBER(H6),ISERROR(FIND("T",maze!F6))),H6+1,"")))))</f>
        <v>44</v>
      </c>
      <c r="I5" s="6">
        <f ca="1">IF(Reset=1,"",IF(AND(ISNUMBER(H5),ISERROR(FIND("L",maze!G5))),H5+1,IF(AND(ISNUMBER(I4),ISERROR(FIND("T",maze!G5))),I4+1,IF(AND(ISNUMBER(J5),ISERROR(FIND("L",maze!H5))),J5+1,IF(AND(ISNUMBER(I6),ISERROR(FIND("T",maze!G6))),I6+1,"")))))</f>
        <v>47</v>
      </c>
      <c r="J5" s="6">
        <f ca="1">IF(Reset=1,"",IF(AND(ISNUMBER(I5),ISERROR(FIND("L",maze!H5))),I5+1,IF(AND(ISNUMBER(J4),ISERROR(FIND("T",maze!H5))),J4+1,IF(AND(ISNUMBER(K5),ISERROR(FIND("L",maze!I5))),K5+1,IF(AND(ISNUMBER(J6),ISERROR(FIND("T",maze!H6))),J6+1,"")))))</f>
        <v>48</v>
      </c>
      <c r="K5" s="6" t="str">
        <f ca="1">IF(Reset=1,"",IF(AND(ISNUMBER(J5),ISERROR(FIND("L",maze!I5))),J5+1,IF(AND(ISNUMBER(K4),ISERROR(FIND("T",maze!I5))),K4+1,IF(AND(ISNUMBER(L5),ISERROR(FIND("L",maze!J5))),L5+1,IF(AND(ISNUMBER(K6),ISERROR(FIND("T",maze!I6))),K6+1,"")))))</f>
        <v/>
      </c>
      <c r="L5" s="6">
        <f ca="1">IF(Reset=1,"",IF(AND(ISNUMBER(K5),ISERROR(FIND("L",maze!J5))),K5+1,IF(AND(ISNUMBER(L4),ISERROR(FIND("T",maze!J5))),L4+1,IF(AND(ISNUMBER(M5),ISERROR(FIND("L",maze!K5))),M5+1,IF(AND(ISNUMBER(L6),ISERROR(FIND("T",maze!J6))),L6+1,"")))))</f>
        <v>50</v>
      </c>
      <c r="M5" s="6">
        <f ca="1">IF(Reset=1,"",IF(AND(ISNUMBER(L5),ISERROR(FIND("L",maze!K5))),L5+1,IF(AND(ISNUMBER(M4),ISERROR(FIND("T",maze!K5))),M4+1,IF(AND(ISNUMBER(N5),ISERROR(FIND("L",maze!L5))),N5+1,IF(AND(ISNUMBER(M6),ISERROR(FIND("T",maze!K6))),M6+1,"")))))</f>
        <v>51</v>
      </c>
      <c r="N5" s="6">
        <f ca="1">IF(Reset=1,"",IF(AND(ISNUMBER(M5),ISERROR(FIND("L",maze!L5))),M5+1,IF(AND(ISNUMBER(N4),ISERROR(FIND("T",maze!L5))),N4+1,IF(AND(ISNUMBER(O5),ISERROR(FIND("L",maze!M5))),O5+1,IF(AND(ISNUMBER(N6),ISERROR(FIND("T",maze!L6))),N6+1,"")))))</f>
        <v>52</v>
      </c>
      <c r="O5" s="6">
        <f ca="1">IF(Reset=1,"",IF(AND(ISNUMBER(N5),ISERROR(FIND("L",maze!M5))),N5+1,IF(AND(ISNUMBER(O4),ISERROR(FIND("T",maze!M5))),O4+1,IF(AND(ISNUMBER(P5),ISERROR(FIND("L",maze!N5))),P5+1,IF(AND(ISNUMBER(O6),ISERROR(FIND("T",maze!M6))),O6+1,"")))))</f>
        <v>53</v>
      </c>
      <c r="P5" s="6">
        <f ca="1">IF(Reset=1,"",IF(AND(ISNUMBER(O5),ISERROR(FIND("L",maze!N5))),O5+1,IF(AND(ISNUMBER(P4),ISERROR(FIND("T",maze!N5))),P4+1,IF(AND(ISNUMBER(Q5),ISERROR(FIND("L",maze!O5))),Q5+1,IF(AND(ISNUMBER(P6),ISERROR(FIND("T",maze!N6))),P6+1,"")))))</f>
        <v>54</v>
      </c>
      <c r="Q5" s="6">
        <f ca="1">IF(Reset=1,"",IF(AND(ISNUMBER(P5),ISERROR(FIND("L",maze!O5))),P5+1,IF(AND(ISNUMBER(Q4),ISERROR(FIND("T",maze!O5))),Q4+1,IF(AND(ISNUMBER(R5),ISERROR(FIND("L",maze!P5))),R5+1,IF(AND(ISNUMBER(Q6),ISERROR(FIND("T",maze!O6))),Q6+1,"")))))</f>
        <v>55</v>
      </c>
      <c r="R5" s="6">
        <f ca="1">IF(Reset=1,"",IF(AND(ISNUMBER(Q5),ISERROR(FIND("L",maze!P5))),Q5+1,IF(AND(ISNUMBER(R4),ISERROR(FIND("T",maze!P5))),R4+1,IF(AND(ISNUMBER(S5),ISERROR(FIND("L",maze!Q5))),S5+1,IF(AND(ISNUMBER(R6),ISERROR(FIND("T",maze!P6))),R6+1,"")))))</f>
        <v>56</v>
      </c>
      <c r="S5" s="7">
        <f ca="1">IF(Reset=1,"",IF(AND(ISNUMBER(R5),ISERROR(FIND("L",maze!Q5))),R5+1,IF(AND(ISNUMBER(S4),ISERROR(FIND("T",maze!Q5))),S4+1,IF(AND(ISNUMBER(T5),ISERROR(FIND("L",maze!R5))),T5+1,IF(AND(ISNUMBER(S6),ISERROR(FIND("T",maze!Q6))),S6+1,"")))))</f>
        <v>57</v>
      </c>
      <c r="T5" t="str">
        <f>IF(maze!R5="","",maze!R5)</f>
        <v/>
      </c>
      <c r="V5" s="18">
        <f>1-(ABS(COLUMN()-COLUMN($V$3)-7)/15+ABS(ROW()-ROW($V$3)-7)/15)^2</f>
        <v>0.35999999999999988</v>
      </c>
      <c r="W5" s="19">
        <f>1-(ABS(COLUMN()-COLUMN($V$3)-7)/15+ABS(ROW()-ROW($V$3)-7)/15)^2</f>
        <v>0.46222222222222209</v>
      </c>
      <c r="X5" s="19">
        <f>1-(ABS(COLUMN()-COLUMN($V$3)-7)/15+ABS(ROW()-ROW($V$3)-7)/15)^2</f>
        <v>0.55555555555555558</v>
      </c>
      <c r="Y5" s="19">
        <f>1-(ABS(COLUMN()-COLUMN($V$3)-7)/15+ABS(ROW()-ROW($V$3)-7)/15)^2</f>
        <v>0.64</v>
      </c>
      <c r="Z5" s="19">
        <f>1-(ABS(COLUMN()-COLUMN($V$3)-7)/15+ABS(ROW()-ROW($V$3)-7)/15)^2</f>
        <v>0.7155555555555555</v>
      </c>
      <c r="AA5" s="19">
        <f>1-(ABS(COLUMN()-COLUMN($V$3)-7)/15+ABS(ROW()-ROW($V$3)-7)/15)^2</f>
        <v>0.78222222222222215</v>
      </c>
      <c r="AB5" s="19">
        <f>1-(ABS(COLUMN()-COLUMN($V$3)-7)/15+ABS(ROW()-ROW($V$3)-7)/15)^2</f>
        <v>0.84000000000000008</v>
      </c>
      <c r="AC5" s="19">
        <f>1-(ABS(COLUMN()-COLUMN($V$3)-7)/15+ABS(ROW()-ROW($V$3)-7)/15)^2</f>
        <v>0.88888888888888884</v>
      </c>
      <c r="AD5" s="19">
        <f>1-(ABS(COLUMN()-COLUMN($V$3)-7)/15+ABS(ROW()-ROW($V$3)-7)/15)^2</f>
        <v>0.84000000000000008</v>
      </c>
      <c r="AE5" s="19">
        <f>1-(ABS(COLUMN()-COLUMN($V$3)-7)/15+ABS(ROW()-ROW($V$3)-7)/15)^2</f>
        <v>0.78222222222222215</v>
      </c>
      <c r="AF5" s="19">
        <f>1-(ABS(COLUMN()-COLUMN($V$3)-7)/15+ABS(ROW()-ROW($V$3)-7)/15)^2</f>
        <v>0.7155555555555555</v>
      </c>
      <c r="AG5" s="19">
        <f>1-(ABS(COLUMN()-COLUMN($V$3)-7)/15+ABS(ROW()-ROW($V$3)-7)/15)^2</f>
        <v>0.64</v>
      </c>
      <c r="AH5" s="19">
        <f>1-(ABS(COLUMN()-COLUMN($V$3)-7)/15+ABS(ROW()-ROW($V$3)-7)/15)^2</f>
        <v>0.55555555555555558</v>
      </c>
      <c r="AI5" s="19">
        <f>1-(ABS(COLUMN()-COLUMN($V$3)-7)/15+ABS(ROW()-ROW($V$3)-7)/15)^2</f>
        <v>0.46222222222222209</v>
      </c>
      <c r="AJ5" s="20">
        <f>1-(ABS(COLUMN()-COLUMN($V$3)-7)/15+ABS(ROW()-ROW($V$3)-7)/15)^2</f>
        <v>0.35999999999999988</v>
      </c>
    </row>
    <row r="6" spans="2:36" x14ac:dyDescent="0.3">
      <c r="D6" s="1" t="str">
        <f>IF(maze!B6="","",1)</f>
        <v/>
      </c>
      <c r="E6" s="5">
        <f ca="1">IF(Reset=1,"",IF(AND(ISNUMBER(D6),ISERROR(FIND("L",maze!C6))),D6+1,IF(AND(ISNUMBER(E5),ISERROR(FIND("T",maze!C6))),E5+1,IF(AND(ISNUMBER(F6),ISERROR(FIND("L",maze!D6))),F6+1,IF(AND(ISNUMBER(E7),ISERROR(FIND("T",maze!C7))),E7+1,"")))))</f>
        <v>4</v>
      </c>
      <c r="F6" s="6">
        <f ca="1">IF(Reset=1,"",IF(AND(ISNUMBER(E6),ISERROR(FIND("L",maze!D6))),E6+1,IF(AND(ISNUMBER(F5),ISERROR(FIND("T",maze!D6))),F5+1,IF(AND(ISNUMBER(G6),ISERROR(FIND("L",maze!E6))),G6+1,IF(AND(ISNUMBER(F7),ISERROR(FIND("T",maze!D7))),F7+1,"")))))</f>
        <v>43</v>
      </c>
      <c r="G6" s="6">
        <f ca="1">IF(Reset=1,"",IF(AND(ISNUMBER(F6),ISERROR(FIND("L",maze!E6))),F6+1,IF(AND(ISNUMBER(G5),ISERROR(FIND("T",maze!E6))),G5+1,IF(AND(ISNUMBER(H6),ISERROR(FIND("L",maze!F6))),H6+1,IF(AND(ISNUMBER(G7),ISERROR(FIND("T",maze!E7))),G7+1,"")))))</f>
        <v>44</v>
      </c>
      <c r="H6" s="6">
        <f ca="1">IF(Reset=1,"",IF(AND(ISNUMBER(G6),ISERROR(FIND("L",maze!F6))),G6+1,IF(AND(ISNUMBER(H5),ISERROR(FIND("T",maze!F6))),H5+1,IF(AND(ISNUMBER(I6),ISERROR(FIND("L",maze!G6))),I6+1,IF(AND(ISNUMBER(H7),ISERROR(FIND("T",maze!F7))),H7+1,"")))))</f>
        <v>45</v>
      </c>
      <c r="I6" s="6">
        <f ca="1">IF(Reset=1,"",IF(AND(ISNUMBER(H6),ISERROR(FIND("L",maze!G6))),H6+1,IF(AND(ISNUMBER(I5),ISERROR(FIND("T",maze!G6))),I5+1,IF(AND(ISNUMBER(J6),ISERROR(FIND("L",maze!H6))),J6+1,IF(AND(ISNUMBER(I7),ISERROR(FIND("T",maze!G7))),I7+1,"")))))</f>
        <v>46</v>
      </c>
      <c r="J6" s="6">
        <f ca="1">IF(Reset=1,"",IF(AND(ISNUMBER(I6),ISERROR(FIND("L",maze!H6))),I6+1,IF(AND(ISNUMBER(J5),ISERROR(FIND("T",maze!H6))),J5+1,IF(AND(ISNUMBER(K6),ISERROR(FIND("L",maze!I6))),K6+1,IF(AND(ISNUMBER(J7),ISERROR(FIND("T",maze!H7))),J7+1,"")))))</f>
        <v>47</v>
      </c>
      <c r="K6" s="6" t="str">
        <f ca="1">IF(Reset=1,"",IF(AND(ISNUMBER(J6),ISERROR(FIND("L",maze!I6))),J6+1,IF(AND(ISNUMBER(K5),ISERROR(FIND("T",maze!I6))),K5+1,IF(AND(ISNUMBER(L6),ISERROR(FIND("L",maze!J6))),L6+1,IF(AND(ISNUMBER(K7),ISERROR(FIND("T",maze!I7))),K7+1,"")))))</f>
        <v/>
      </c>
      <c r="L6" s="6">
        <f ca="1">IF(Reset=1,"",IF(AND(ISNUMBER(K6),ISERROR(FIND("L",maze!J6))),K6+1,IF(AND(ISNUMBER(L5),ISERROR(FIND("T",maze!J6))),L5+1,IF(AND(ISNUMBER(M6),ISERROR(FIND("L",maze!K6))),M6+1,IF(AND(ISNUMBER(L7),ISERROR(FIND("T",maze!J7))),L7+1,"")))))</f>
        <v>51</v>
      </c>
      <c r="M6" s="6">
        <f ca="1">IF(Reset=1,"",IF(AND(ISNUMBER(L6),ISERROR(FIND("L",maze!K6))),L6+1,IF(AND(ISNUMBER(M5),ISERROR(FIND("T",maze!K6))),M5+1,IF(AND(ISNUMBER(N6),ISERROR(FIND("L",maze!L6))),N6+1,IF(AND(ISNUMBER(M7),ISERROR(FIND("T",maze!K7))),M7+1,"")))))</f>
        <v>52</v>
      </c>
      <c r="N6" s="6">
        <f ca="1">IF(Reset=1,"",IF(AND(ISNUMBER(M6),ISERROR(FIND("L",maze!L6))),M6+1,IF(AND(ISNUMBER(N5),ISERROR(FIND("T",maze!L6))),N5+1,IF(AND(ISNUMBER(O6),ISERROR(FIND("L",maze!M6))),O6+1,IF(AND(ISNUMBER(N7),ISERROR(FIND("T",maze!L7))),N7+1,"")))))</f>
        <v>53</v>
      </c>
      <c r="O6" s="6">
        <f ca="1">IF(Reset=1,"",IF(AND(ISNUMBER(N6),ISERROR(FIND("L",maze!M6))),N6+1,IF(AND(ISNUMBER(O5),ISERROR(FIND("T",maze!M6))),O5+1,IF(AND(ISNUMBER(P6),ISERROR(FIND("L",maze!N6))),P6+1,IF(AND(ISNUMBER(O7),ISERROR(FIND("T",maze!M7))),O7+1,"")))))</f>
        <v>54</v>
      </c>
      <c r="P6" s="6">
        <f ca="1">IF(Reset=1,"",IF(AND(ISNUMBER(O6),ISERROR(FIND("L",maze!N6))),O6+1,IF(AND(ISNUMBER(P5),ISERROR(FIND("T",maze!N6))),P5+1,IF(AND(ISNUMBER(Q6),ISERROR(FIND("L",maze!O6))),Q6+1,IF(AND(ISNUMBER(P7),ISERROR(FIND("T",maze!N7))),P7+1,"")))))</f>
        <v>55</v>
      </c>
      <c r="Q6" s="6" t="str">
        <f ca="1">IF(Reset=1,"",IF(AND(ISNUMBER(P6),ISERROR(FIND("L",maze!O6))),P6+1,IF(AND(ISNUMBER(Q5),ISERROR(FIND("T",maze!O6))),Q5+1,IF(AND(ISNUMBER(R6),ISERROR(FIND("L",maze!P6))),R6+1,IF(AND(ISNUMBER(Q7),ISERROR(FIND("T",maze!O7))),Q7+1,"")))))</f>
        <v/>
      </c>
      <c r="R6" s="6" t="str">
        <f ca="1">IF(Reset=1,"",IF(AND(ISNUMBER(Q6),ISERROR(FIND("L",maze!P6))),Q6+1,IF(AND(ISNUMBER(R5),ISERROR(FIND("T",maze!P6))),R5+1,IF(AND(ISNUMBER(S6),ISERROR(FIND("L",maze!Q6))),S6+1,IF(AND(ISNUMBER(R7),ISERROR(FIND("T",maze!P7))),R7+1,"")))))</f>
        <v/>
      </c>
      <c r="S6" s="7">
        <f ca="1">IF(Reset=1,"",IF(AND(ISNUMBER(R6),ISERROR(FIND("L",maze!Q6))),R6+1,IF(AND(ISNUMBER(S5),ISERROR(FIND("T",maze!Q6))),S5+1,IF(AND(ISNUMBER(T6),ISERROR(FIND("L",maze!R6))),T6+1,IF(AND(ISNUMBER(S7),ISERROR(FIND("T",maze!Q7))),S7+1,"")))))</f>
        <v>58</v>
      </c>
      <c r="T6" t="str">
        <f>IF(maze!R6="","",maze!R6)</f>
        <v/>
      </c>
      <c r="V6" s="18">
        <f>1-(ABS(COLUMN()-COLUMN($V$3)-7)/15+ABS(ROW()-ROW($V$3)-7)/15)^2</f>
        <v>0.46222222222222209</v>
      </c>
      <c r="W6" s="19">
        <f>1-(ABS(COLUMN()-COLUMN($V$3)-7)/15+ABS(ROW()-ROW($V$3)-7)/15)^2</f>
        <v>0.55555555555555547</v>
      </c>
      <c r="X6" s="19">
        <f>1-(ABS(COLUMN()-COLUMN($V$3)-7)/15+ABS(ROW()-ROW($V$3)-7)/15)^2</f>
        <v>0.64</v>
      </c>
      <c r="Y6" s="19">
        <f>1-(ABS(COLUMN()-COLUMN($V$3)-7)/15+ABS(ROW()-ROW($V$3)-7)/15)^2</f>
        <v>0.7155555555555555</v>
      </c>
      <c r="Z6" s="19">
        <f>1-(ABS(COLUMN()-COLUMN($V$3)-7)/15+ABS(ROW()-ROW($V$3)-7)/15)^2</f>
        <v>0.78222222222222215</v>
      </c>
      <c r="AA6" s="19">
        <f>1-(ABS(COLUMN()-COLUMN($V$3)-7)/15+ABS(ROW()-ROW($V$3)-7)/15)^2</f>
        <v>0.84</v>
      </c>
      <c r="AB6" s="19">
        <f>1-(ABS(COLUMN()-COLUMN($V$3)-7)/15+ABS(ROW()-ROW($V$3)-7)/15)^2</f>
        <v>0.88888888888888884</v>
      </c>
      <c r="AC6" s="19">
        <f>1-(ABS(COLUMN()-COLUMN($V$3)-7)/15+ABS(ROW()-ROW($V$3)-7)/15)^2</f>
        <v>0.92888888888888888</v>
      </c>
      <c r="AD6" s="19">
        <f>1-(ABS(COLUMN()-COLUMN($V$3)-7)/15+ABS(ROW()-ROW($V$3)-7)/15)^2</f>
        <v>0.88888888888888884</v>
      </c>
      <c r="AE6" s="19">
        <f>1-(ABS(COLUMN()-COLUMN($V$3)-7)/15+ABS(ROW()-ROW($V$3)-7)/15)^2</f>
        <v>0.84</v>
      </c>
      <c r="AF6" s="19">
        <f>1-(ABS(COLUMN()-COLUMN($V$3)-7)/15+ABS(ROW()-ROW($V$3)-7)/15)^2</f>
        <v>0.78222222222222215</v>
      </c>
      <c r="AG6" s="19">
        <f>1-(ABS(COLUMN()-COLUMN($V$3)-7)/15+ABS(ROW()-ROW($V$3)-7)/15)^2</f>
        <v>0.7155555555555555</v>
      </c>
      <c r="AH6" s="19">
        <f>1-(ABS(COLUMN()-COLUMN($V$3)-7)/15+ABS(ROW()-ROW($V$3)-7)/15)^2</f>
        <v>0.64</v>
      </c>
      <c r="AI6" s="19">
        <f>1-(ABS(COLUMN()-COLUMN($V$3)-7)/15+ABS(ROW()-ROW($V$3)-7)/15)^2</f>
        <v>0.55555555555555547</v>
      </c>
      <c r="AJ6" s="20">
        <f>1-(ABS(COLUMN()-COLUMN($V$3)-7)/15+ABS(ROW()-ROW($V$3)-7)/15)^2</f>
        <v>0.46222222222222209</v>
      </c>
    </row>
    <row r="7" spans="2:36" x14ac:dyDescent="0.3">
      <c r="D7" s="1" t="str">
        <f>IF(maze!B7="","",1)</f>
        <v/>
      </c>
      <c r="E7" s="5" t="str">
        <f ca="1">IF(Reset=1,"",IF(AND(ISNUMBER(D7),ISERROR(FIND("L",maze!C7))),D7+1,IF(AND(ISNUMBER(E6),ISERROR(FIND("T",maze!C7))),E6+1,IF(AND(ISNUMBER(F7),ISERROR(FIND("L",maze!D7))),F7+1,IF(AND(ISNUMBER(E8),ISERROR(FIND("T",maze!C8))),E8+1,"")))))</f>
        <v/>
      </c>
      <c r="F7" s="6" t="str">
        <f ca="1">IF(Reset=1,"",IF(AND(ISNUMBER(E7),ISERROR(FIND("L",maze!D7))),E7+1,IF(AND(ISNUMBER(F6),ISERROR(FIND("T",maze!D7))),F6+1,IF(AND(ISNUMBER(G7),ISERROR(FIND("L",maze!E7))),G7+1,IF(AND(ISNUMBER(F8),ISERROR(FIND("T",maze!D8))),F8+1,"")))))</f>
        <v/>
      </c>
      <c r="G7" s="6" t="str">
        <f ca="1">IF(Reset=1,"",IF(AND(ISNUMBER(F7),ISERROR(FIND("L",maze!E7))),F7+1,IF(AND(ISNUMBER(G6),ISERROR(FIND("T",maze!E7))),G6+1,IF(AND(ISNUMBER(H7),ISERROR(FIND("L",maze!F7))),H7+1,IF(AND(ISNUMBER(G8),ISERROR(FIND("T",maze!E8))),G8+1,"")))))</f>
        <v/>
      </c>
      <c r="H7" s="6" t="str">
        <f ca="1">IF(Reset=1,"",IF(AND(ISNUMBER(G7),ISERROR(FIND("L",maze!F7))),G7+1,IF(AND(ISNUMBER(H6),ISERROR(FIND("T",maze!F7))),H6+1,IF(AND(ISNUMBER(I7),ISERROR(FIND("L",maze!G7))),I7+1,IF(AND(ISNUMBER(H8),ISERROR(FIND("T",maze!F8))),H8+1,"")))))</f>
        <v/>
      </c>
      <c r="I7" s="6" t="str">
        <f ca="1">IF(Reset=1,"",IF(AND(ISNUMBER(H7),ISERROR(FIND("L",maze!G7))),H7+1,IF(AND(ISNUMBER(I6),ISERROR(FIND("T",maze!G7))),I6+1,IF(AND(ISNUMBER(J7),ISERROR(FIND("L",maze!H7))),J7+1,IF(AND(ISNUMBER(I8),ISERROR(FIND("T",maze!G8))),I8+1,"")))))</f>
        <v/>
      </c>
      <c r="J7" s="6" t="str">
        <f ca="1">IF(Reset=1,"",IF(AND(ISNUMBER(I7),ISERROR(FIND("L",maze!H7))),I7+1,IF(AND(ISNUMBER(J6),ISERROR(FIND("T",maze!H7))),J6+1,IF(AND(ISNUMBER(K7),ISERROR(FIND("L",maze!I7))),K7+1,IF(AND(ISNUMBER(J8),ISERROR(FIND("T",maze!H8))),J8+1,"")))))</f>
        <v/>
      </c>
      <c r="K7" s="6" t="str">
        <f ca="1">IF(Reset=1,"",IF(AND(ISNUMBER(J7),ISERROR(FIND("L",maze!I7))),J7+1,IF(AND(ISNUMBER(K6),ISERROR(FIND("T",maze!I7))),K6+1,IF(AND(ISNUMBER(L7),ISERROR(FIND("L",maze!J7))),L7+1,IF(AND(ISNUMBER(K8),ISERROR(FIND("T",maze!I8))),K8+1,"")))))</f>
        <v/>
      </c>
      <c r="L7" s="6">
        <f ca="1">IF(Reset=1,"",IF(AND(ISNUMBER(K7),ISERROR(FIND("L",maze!J7))),K7+1,IF(AND(ISNUMBER(L6),ISERROR(FIND("T",maze!J7))),L6+1,IF(AND(ISNUMBER(M7),ISERROR(FIND("L",maze!K7))),M7+1,IF(AND(ISNUMBER(L8),ISERROR(FIND("T",maze!J8))),L8+1,"")))))</f>
        <v>52</v>
      </c>
      <c r="M7" s="6">
        <f ca="1">IF(Reset=1,"",IF(AND(ISNUMBER(L7),ISERROR(FIND("L",maze!K7))),L7+1,IF(AND(ISNUMBER(M6),ISERROR(FIND("T",maze!K7))),M6+1,IF(AND(ISNUMBER(N7),ISERROR(FIND("L",maze!L7))),N7+1,IF(AND(ISNUMBER(M8),ISERROR(FIND("T",maze!K8))),M8+1,"")))))</f>
        <v>53</v>
      </c>
      <c r="N7" s="6">
        <f ca="1">IF(Reset=1,"",IF(AND(ISNUMBER(M7),ISERROR(FIND("L",maze!L7))),M7+1,IF(AND(ISNUMBER(N6),ISERROR(FIND("T",maze!L7))),N6+1,IF(AND(ISNUMBER(O7),ISERROR(FIND("L",maze!M7))),O7+1,IF(AND(ISNUMBER(N8),ISERROR(FIND("T",maze!L8))),N8+1,"")))))</f>
        <v>54</v>
      </c>
      <c r="O7" s="6">
        <f ca="1">IF(Reset=1,"",IF(AND(ISNUMBER(N7),ISERROR(FIND("L",maze!M7))),N7+1,IF(AND(ISNUMBER(O6),ISERROR(FIND("T",maze!M7))),O6+1,IF(AND(ISNUMBER(P7),ISERROR(FIND("L",maze!N7))),P7+1,IF(AND(ISNUMBER(O8),ISERROR(FIND("T",maze!M8))),O8+1,"")))))</f>
        <v>55</v>
      </c>
      <c r="P7" s="6">
        <f ca="1">IF(Reset=1,"",IF(AND(ISNUMBER(O7),ISERROR(FIND("L",maze!N7))),O7+1,IF(AND(ISNUMBER(P6),ISERROR(FIND("T",maze!N7))),P6+1,IF(AND(ISNUMBER(Q7),ISERROR(FIND("L",maze!O7))),Q7+1,IF(AND(ISNUMBER(P8),ISERROR(FIND("T",maze!N8))),P8+1,"")))))</f>
        <v>56</v>
      </c>
      <c r="Q7" s="6" t="str">
        <f ca="1">IF(Reset=1,"",IF(AND(ISNUMBER(P7),ISERROR(FIND("L",maze!O7))),P7+1,IF(AND(ISNUMBER(Q6),ISERROR(FIND("T",maze!O7))),Q6+1,IF(AND(ISNUMBER(R7),ISERROR(FIND("L",maze!P7))),R7+1,IF(AND(ISNUMBER(Q8),ISERROR(FIND("T",maze!O8))),Q8+1,"")))))</f>
        <v/>
      </c>
      <c r="R7" s="6" t="str">
        <f ca="1">IF(Reset=1,"",IF(AND(ISNUMBER(Q7),ISERROR(FIND("L",maze!P7))),Q7+1,IF(AND(ISNUMBER(R6),ISERROR(FIND("T",maze!P7))),R6+1,IF(AND(ISNUMBER(S7),ISERROR(FIND("L",maze!Q7))),S7+1,IF(AND(ISNUMBER(R8),ISERROR(FIND("T",maze!P8))),R8+1,"")))))</f>
        <v/>
      </c>
      <c r="S7" s="7" t="str">
        <f ca="1">IF(Reset=1,"",IF(AND(ISNUMBER(R7),ISERROR(FIND("L",maze!Q7))),R7+1,IF(AND(ISNUMBER(S6),ISERROR(FIND("T",maze!Q7))),S6+1,IF(AND(ISNUMBER(T7),ISERROR(FIND("L",maze!R7))),T7+1,IF(AND(ISNUMBER(S8),ISERROR(FIND("T",maze!Q8))),S8+1,"")))))</f>
        <v/>
      </c>
      <c r="T7" t="str">
        <f>IF(maze!R7="","",maze!R7)</f>
        <v/>
      </c>
      <c r="V7" s="18">
        <f>1-(ABS(COLUMN()-COLUMN($V$3)-7)/15+ABS(ROW()-ROW($V$3)-7)/15)^2</f>
        <v>0.55555555555555547</v>
      </c>
      <c r="W7" s="19">
        <f>1-(ABS(COLUMN()-COLUMN($V$3)-7)/15+ABS(ROW()-ROW($V$3)-7)/15)^2</f>
        <v>0.6399999999999999</v>
      </c>
      <c r="X7" s="19">
        <f>1-(ABS(COLUMN()-COLUMN($V$3)-7)/15+ABS(ROW()-ROW($V$3)-7)/15)^2</f>
        <v>0.7155555555555555</v>
      </c>
      <c r="Y7" s="19">
        <f>1-(ABS(COLUMN()-COLUMN($V$3)-7)/15+ABS(ROW()-ROW($V$3)-7)/15)^2</f>
        <v>0.78222222222222215</v>
      </c>
      <c r="Z7" s="19">
        <f>1-(ABS(COLUMN()-COLUMN($V$3)-7)/15+ABS(ROW()-ROW($V$3)-7)/15)^2</f>
        <v>0.84</v>
      </c>
      <c r="AA7" s="19">
        <f>1-(ABS(COLUMN()-COLUMN($V$3)-7)/15+ABS(ROW()-ROW($V$3)-7)/15)^2</f>
        <v>0.88888888888888884</v>
      </c>
      <c r="AB7" s="19">
        <f>1-(ABS(COLUMN()-COLUMN($V$3)-7)/15+ABS(ROW()-ROW($V$3)-7)/15)^2</f>
        <v>0.92888888888888888</v>
      </c>
      <c r="AC7" s="19">
        <f>1-(ABS(COLUMN()-COLUMN($V$3)-7)/15+ABS(ROW()-ROW($V$3)-7)/15)^2</f>
        <v>0.96</v>
      </c>
      <c r="AD7" s="19">
        <f>1-(ABS(COLUMN()-COLUMN($V$3)-7)/15+ABS(ROW()-ROW($V$3)-7)/15)^2</f>
        <v>0.92888888888888888</v>
      </c>
      <c r="AE7" s="19">
        <f>1-(ABS(COLUMN()-COLUMN($V$3)-7)/15+ABS(ROW()-ROW($V$3)-7)/15)^2</f>
        <v>0.88888888888888884</v>
      </c>
      <c r="AF7" s="19">
        <f>1-(ABS(COLUMN()-COLUMN($V$3)-7)/15+ABS(ROW()-ROW($V$3)-7)/15)^2</f>
        <v>0.84</v>
      </c>
      <c r="AG7" s="19">
        <f>1-(ABS(COLUMN()-COLUMN($V$3)-7)/15+ABS(ROW()-ROW($V$3)-7)/15)^2</f>
        <v>0.78222222222222215</v>
      </c>
      <c r="AH7" s="19">
        <f>1-(ABS(COLUMN()-COLUMN($V$3)-7)/15+ABS(ROW()-ROW($V$3)-7)/15)^2</f>
        <v>0.7155555555555555</v>
      </c>
      <c r="AI7" s="19">
        <f>1-(ABS(COLUMN()-COLUMN($V$3)-7)/15+ABS(ROW()-ROW($V$3)-7)/15)^2</f>
        <v>0.6399999999999999</v>
      </c>
      <c r="AJ7" s="20">
        <f>1-(ABS(COLUMN()-COLUMN($V$3)-7)/15+ABS(ROW()-ROW($V$3)-7)/15)^2</f>
        <v>0.55555555555555547</v>
      </c>
    </row>
    <row r="8" spans="2:36" x14ac:dyDescent="0.3">
      <c r="D8" s="1" t="str">
        <f>IF(maze!B8="","",1)</f>
        <v/>
      </c>
      <c r="E8" s="5" t="str">
        <f ca="1">IF(Reset=1,"",IF(AND(ISNUMBER(D8),ISERROR(FIND("L",maze!C8))),D8+1,IF(AND(ISNUMBER(E7),ISERROR(FIND("T",maze!C8))),E7+1,IF(AND(ISNUMBER(F8),ISERROR(FIND("L",maze!D8))),F8+1,IF(AND(ISNUMBER(E9),ISERROR(FIND("T",maze!C9))),E9+1,"")))))</f>
        <v/>
      </c>
      <c r="F8" s="6" t="str">
        <f ca="1">IF(Reset=1,"",IF(AND(ISNUMBER(E8),ISERROR(FIND("L",maze!D8))),E8+1,IF(AND(ISNUMBER(F7),ISERROR(FIND("T",maze!D8))),F7+1,IF(AND(ISNUMBER(G8),ISERROR(FIND("L",maze!E8))),G8+1,IF(AND(ISNUMBER(F9),ISERROR(FIND("T",maze!D9))),F9+1,"")))))</f>
        <v/>
      </c>
      <c r="G8" s="6" t="str">
        <f ca="1">IF(Reset=1,"",IF(AND(ISNUMBER(F8),ISERROR(FIND("L",maze!E8))),F8+1,IF(AND(ISNUMBER(G7),ISERROR(FIND("T",maze!E8))),G7+1,IF(AND(ISNUMBER(H8),ISERROR(FIND("L",maze!F8))),H8+1,IF(AND(ISNUMBER(G9),ISERROR(FIND("T",maze!E9))),G9+1,"")))))</f>
        <v/>
      </c>
      <c r="H8" s="6" t="str">
        <f ca="1">IF(Reset=1,"",IF(AND(ISNUMBER(G8),ISERROR(FIND("L",maze!F8))),G8+1,IF(AND(ISNUMBER(H7),ISERROR(FIND("T",maze!F8))),H7+1,IF(AND(ISNUMBER(I8),ISERROR(FIND("L",maze!G8))),I8+1,IF(AND(ISNUMBER(H9),ISERROR(FIND("T",maze!F9))),H9+1,"")))))</f>
        <v/>
      </c>
      <c r="I8" s="6" t="str">
        <f ca="1">IF(Reset=1,"",IF(AND(ISNUMBER(H8),ISERROR(FIND("L",maze!G8))),H8+1,IF(AND(ISNUMBER(I7),ISERROR(FIND("T",maze!G8))),I7+1,IF(AND(ISNUMBER(J8),ISERROR(FIND("L",maze!H8))),J8+1,IF(AND(ISNUMBER(I9),ISERROR(FIND("T",maze!G9))),I9+1,"")))))</f>
        <v/>
      </c>
      <c r="J8" s="6" t="str">
        <f ca="1">IF(Reset=1,"",IF(AND(ISNUMBER(I8),ISERROR(FIND("L",maze!H8))),I8+1,IF(AND(ISNUMBER(J7),ISERROR(FIND("T",maze!H8))),J7+1,IF(AND(ISNUMBER(K8),ISERROR(FIND("L",maze!I8))),K8+1,IF(AND(ISNUMBER(J9),ISERROR(FIND("T",maze!H9))),J9+1,"")))))</f>
        <v/>
      </c>
      <c r="K8" s="6" t="str">
        <f ca="1">IF(Reset=1,"",IF(AND(ISNUMBER(J8),ISERROR(FIND("L",maze!I8))),J8+1,IF(AND(ISNUMBER(K7),ISERROR(FIND("T",maze!I8))),K7+1,IF(AND(ISNUMBER(L8),ISERROR(FIND("L",maze!J8))),L8+1,IF(AND(ISNUMBER(K9),ISERROR(FIND("T",maze!I9))),K9+1,"")))))</f>
        <v/>
      </c>
      <c r="L8" s="6">
        <f ca="1">IF(Reset=1,"",IF(AND(ISNUMBER(K8),ISERROR(FIND("L",maze!J8))),K8+1,IF(AND(ISNUMBER(L7),ISERROR(FIND("T",maze!J8))),L7+1,IF(AND(ISNUMBER(M8),ISERROR(FIND("L",maze!K8))),M8+1,IF(AND(ISNUMBER(L9),ISERROR(FIND("T",maze!J9))),L9+1,"")))))</f>
        <v>53</v>
      </c>
      <c r="M8" s="6">
        <f ca="1">IF(Reset=1,"",IF(AND(ISNUMBER(L8),ISERROR(FIND("L",maze!K8))),L8+1,IF(AND(ISNUMBER(M7),ISERROR(FIND("T",maze!K8))),M7+1,IF(AND(ISNUMBER(N8),ISERROR(FIND("L",maze!L8))),N8+1,IF(AND(ISNUMBER(M9),ISERROR(FIND("T",maze!K9))),M9+1,"")))))</f>
        <v>54</v>
      </c>
      <c r="N8" s="6">
        <f ca="1">IF(Reset=1,"",IF(AND(ISNUMBER(M8),ISERROR(FIND("L",maze!L8))),M8+1,IF(AND(ISNUMBER(N7),ISERROR(FIND("T",maze!L8))),N7+1,IF(AND(ISNUMBER(O8),ISERROR(FIND("L",maze!M8))),O8+1,IF(AND(ISNUMBER(N9),ISERROR(FIND("T",maze!L9))),N9+1,"")))))</f>
        <v>55</v>
      </c>
      <c r="O8" s="6" t="str">
        <f ca="1">IF(Reset=1,"",IF(AND(ISNUMBER(N8),ISERROR(FIND("L",maze!M8))),N8+1,IF(AND(ISNUMBER(O7),ISERROR(FIND("T",maze!M8))),O7+1,IF(AND(ISNUMBER(P8),ISERROR(FIND("L",maze!N8))),P8+1,IF(AND(ISNUMBER(O9),ISERROR(FIND("T",maze!M9))),O9+1,"")))))</f>
        <v/>
      </c>
      <c r="P8" s="6" t="str">
        <f ca="1">IF(Reset=1,"",IF(AND(ISNUMBER(O8),ISERROR(FIND("L",maze!N8))),O8+1,IF(AND(ISNUMBER(P7),ISERROR(FIND("T",maze!N8))),P7+1,IF(AND(ISNUMBER(Q8),ISERROR(FIND("L",maze!O8))),Q8+1,IF(AND(ISNUMBER(P9),ISERROR(FIND("T",maze!N9))),P9+1,"")))))</f>
        <v/>
      </c>
      <c r="Q8" s="6" t="str">
        <f ca="1">IF(Reset=1,"",IF(AND(ISNUMBER(P8),ISERROR(FIND("L",maze!O8))),P8+1,IF(AND(ISNUMBER(Q7),ISERROR(FIND("T",maze!O8))),Q7+1,IF(AND(ISNUMBER(R8),ISERROR(FIND("L",maze!P8))),R8+1,IF(AND(ISNUMBER(Q9),ISERROR(FIND("T",maze!O9))),Q9+1,"")))))</f>
        <v/>
      </c>
      <c r="R8" s="6" t="str">
        <f ca="1">IF(Reset=1,"",IF(AND(ISNUMBER(Q8),ISERROR(FIND("L",maze!P8))),Q8+1,IF(AND(ISNUMBER(R7),ISERROR(FIND("T",maze!P8))),R7+1,IF(AND(ISNUMBER(S8),ISERROR(FIND("L",maze!Q8))),S8+1,IF(AND(ISNUMBER(R9),ISERROR(FIND("T",maze!P9))),R9+1,"")))))</f>
        <v/>
      </c>
      <c r="S8" s="7" t="str">
        <f ca="1">IF(Reset=1,"",IF(AND(ISNUMBER(R8),ISERROR(FIND("L",maze!Q8))),R8+1,IF(AND(ISNUMBER(S7),ISERROR(FIND("T",maze!Q8))),S7+1,IF(AND(ISNUMBER(T8),ISERROR(FIND("L",maze!R16))),T8+1,IF(AND(ISNUMBER(S9),ISERROR(FIND("T",maze!Q9))),S9+1,"")))))</f>
        <v/>
      </c>
      <c r="T8" t="str">
        <f>IF(maze!R8="","",maze!R8)</f>
        <v/>
      </c>
      <c r="V8" s="18">
        <f>1-(ABS(COLUMN()-COLUMN($V$3)-7)/15+ABS(ROW()-ROW($V$3)-7)/15)^2</f>
        <v>0.64</v>
      </c>
      <c r="W8" s="19">
        <f>1-(ABS(COLUMN()-COLUMN($V$3)-7)/15+ABS(ROW()-ROW($V$3)-7)/15)^2</f>
        <v>0.7155555555555555</v>
      </c>
      <c r="X8" s="19">
        <f>1-(ABS(COLUMN()-COLUMN($V$3)-7)/15+ABS(ROW()-ROW($V$3)-7)/15)^2</f>
        <v>0.78222222222222215</v>
      </c>
      <c r="Y8" s="19">
        <f>1-(ABS(COLUMN()-COLUMN($V$3)-7)/15+ABS(ROW()-ROW($V$3)-7)/15)^2</f>
        <v>0.84</v>
      </c>
      <c r="Z8" s="19">
        <f>1-(ABS(COLUMN()-COLUMN($V$3)-7)/15+ABS(ROW()-ROW($V$3)-7)/15)^2</f>
        <v>0.88888888888888884</v>
      </c>
      <c r="AA8" s="19">
        <f>1-(ABS(COLUMN()-COLUMN($V$3)-7)/15+ABS(ROW()-ROW($V$3)-7)/15)^2</f>
        <v>0.92888888888888888</v>
      </c>
      <c r="AB8" s="19">
        <f>1-(ABS(COLUMN()-COLUMN($V$3)-7)/15+ABS(ROW()-ROW($V$3)-7)/15)^2</f>
        <v>0.96</v>
      </c>
      <c r="AC8" s="19">
        <f>1-(ABS(COLUMN()-COLUMN($V$3)-7)/15+ABS(ROW()-ROW($V$3)-7)/15)^2</f>
        <v>0.98222222222222222</v>
      </c>
      <c r="AD8" s="19">
        <f>1-(ABS(COLUMN()-COLUMN($V$3)-7)/15+ABS(ROW()-ROW($V$3)-7)/15)^2</f>
        <v>0.96</v>
      </c>
      <c r="AE8" s="19">
        <f>1-(ABS(COLUMN()-COLUMN($V$3)-7)/15+ABS(ROW()-ROW($V$3)-7)/15)^2</f>
        <v>0.92888888888888888</v>
      </c>
      <c r="AF8" s="19">
        <f>1-(ABS(COLUMN()-COLUMN($V$3)-7)/15+ABS(ROW()-ROW($V$3)-7)/15)^2</f>
        <v>0.88888888888888884</v>
      </c>
      <c r="AG8" s="19">
        <f>1-(ABS(COLUMN()-COLUMN($V$3)-7)/15+ABS(ROW()-ROW($V$3)-7)/15)^2</f>
        <v>0.84</v>
      </c>
      <c r="AH8" s="19">
        <f>1-(ABS(COLUMN()-COLUMN($V$3)-7)/15+ABS(ROW()-ROW($V$3)-7)/15)^2</f>
        <v>0.78222222222222215</v>
      </c>
      <c r="AI8" s="19">
        <f>1-(ABS(COLUMN()-COLUMN($V$3)-7)/15+ABS(ROW()-ROW($V$3)-7)/15)^2</f>
        <v>0.7155555555555555</v>
      </c>
      <c r="AJ8" s="20">
        <f>1-(ABS(COLUMN()-COLUMN($V$3)-7)/15+ABS(ROW()-ROW($V$3)-7)/15)^2</f>
        <v>0.64</v>
      </c>
    </row>
    <row r="9" spans="2:36" x14ac:dyDescent="0.3">
      <c r="D9" s="1" t="str">
        <f>IF(maze!B9="","",1)</f>
        <v/>
      </c>
      <c r="E9" s="5" t="str">
        <f ca="1">IF(Reset=1,"",IF(AND(ISNUMBER(D9),ISERROR(FIND("L",maze!C9))),D9+1,IF(AND(ISNUMBER(E8),ISERROR(FIND("T",maze!C9))),E8+1,IF(AND(ISNUMBER(F9),ISERROR(FIND("L",maze!D9))),F9+1,IF(AND(ISNUMBER(E10),ISERROR(FIND("T",maze!C10))),E10+1,"")))))</f>
        <v/>
      </c>
      <c r="F9" s="6" t="str">
        <f ca="1">IF(Reset=1,"",IF(AND(ISNUMBER(E9),ISERROR(FIND("L",maze!D9))),E9+1,IF(AND(ISNUMBER(F8),ISERROR(FIND("T",maze!D9))),F8+1,IF(AND(ISNUMBER(G9),ISERROR(FIND("L",maze!E9))),G9+1,IF(AND(ISNUMBER(F10),ISERROR(FIND("T",maze!D10))),F10+1,"")))))</f>
        <v/>
      </c>
      <c r="G9" s="6" t="str">
        <f ca="1">IF(Reset=1,"",IF(AND(ISNUMBER(F9),ISERROR(FIND("L",maze!E9))),F9+1,IF(AND(ISNUMBER(G8),ISERROR(FIND("T",maze!E9))),G8+1,IF(AND(ISNUMBER(H9),ISERROR(FIND("L",maze!F9))),H9+1,IF(AND(ISNUMBER(G10),ISERROR(FIND("T",maze!E10))),G10+1,"")))))</f>
        <v/>
      </c>
      <c r="H9" s="6" t="str">
        <f ca="1">IF(Reset=1,"",IF(AND(ISNUMBER(G9),ISERROR(FIND("L",maze!F9))),G9+1,IF(AND(ISNUMBER(H8),ISERROR(FIND("T",maze!F9))),H8+1,IF(AND(ISNUMBER(I9),ISERROR(FIND("L",maze!G9))),I9+1,IF(AND(ISNUMBER(H10),ISERROR(FIND("T",maze!F10))),H10+1,"")))))</f>
        <v/>
      </c>
      <c r="I9" s="6" t="str">
        <f ca="1">IF(Reset=1,"",IF(AND(ISNUMBER(H9),ISERROR(FIND("L",maze!G9))),H9+1,IF(AND(ISNUMBER(I8),ISERROR(FIND("T",maze!G9))),I8+1,IF(AND(ISNUMBER(J9),ISERROR(FIND("L",maze!H9))),J9+1,IF(AND(ISNUMBER(I10),ISERROR(FIND("T",maze!G10))),I10+1,"")))))</f>
        <v/>
      </c>
      <c r="J9" s="6" t="str">
        <f ca="1">IF(Reset=1,"",IF(AND(ISNUMBER(I9),ISERROR(FIND("L",maze!H9))),I9+1,IF(AND(ISNUMBER(J8),ISERROR(FIND("T",maze!H9))),J8+1,IF(AND(ISNUMBER(K9),ISERROR(FIND("L",maze!I9))),K9+1,IF(AND(ISNUMBER(J10),ISERROR(FIND("T",maze!H10))),J10+1,"")))))</f>
        <v/>
      </c>
      <c r="K9" s="6" t="str">
        <f ca="1">IF(Reset=1,"",IF(AND(ISNUMBER(J9),ISERROR(FIND("L",maze!I9))),J9+1,IF(AND(ISNUMBER(K8),ISERROR(FIND("T",maze!I9))),K8+1,IF(AND(ISNUMBER(L9),ISERROR(FIND("L",maze!J9))),L9+1,IF(AND(ISNUMBER(K10),ISERROR(FIND("T",maze!I10))),K10+1,"")))))</f>
        <v/>
      </c>
      <c r="L9" s="6">
        <f ca="1">IF(Reset=1,"",IF(AND(ISNUMBER(K9),ISERROR(FIND("L",maze!J9))),K9+1,IF(AND(ISNUMBER(L8),ISERROR(FIND("T",maze!J9))),L8+1,IF(AND(ISNUMBER(M9),ISERROR(FIND("L",maze!K9))),M9+1,IF(AND(ISNUMBER(L10),ISERROR(FIND("T",maze!J10))),L10+1,"")))))</f>
        <v>54</v>
      </c>
      <c r="M9" s="6">
        <f ca="1">IF(Reset=1,"",IF(AND(ISNUMBER(L9),ISERROR(FIND("L",maze!K9))),L9+1,IF(AND(ISNUMBER(M8),ISERROR(FIND("T",maze!K9))),M8+1,IF(AND(ISNUMBER(N9),ISERROR(FIND("L",maze!L9))),N9+1,IF(AND(ISNUMBER(M10),ISERROR(FIND("T",maze!K10))),M10+1,"")))))</f>
        <v>55</v>
      </c>
      <c r="N9" s="6">
        <f ca="1">IF(Reset=1,"",IF(AND(ISNUMBER(M9),ISERROR(FIND("L",maze!L9))),M9+1,IF(AND(ISNUMBER(N8),ISERROR(FIND("T",maze!L9))),N8+1,IF(AND(ISNUMBER(O9),ISERROR(FIND("L",maze!M9))),O9+1,IF(AND(ISNUMBER(N10),ISERROR(FIND("T",maze!L10))),N10+1,"")))))</f>
        <v>56</v>
      </c>
      <c r="O9" s="6">
        <f ca="1">IF(Reset=1,"",IF(AND(ISNUMBER(N9),ISERROR(FIND("L",maze!M9))),N9+1,IF(AND(ISNUMBER(O8),ISERROR(FIND("T",maze!M9))),O8+1,IF(AND(ISNUMBER(P9),ISERROR(FIND("L",maze!N9))),P9+1,IF(AND(ISNUMBER(O10),ISERROR(FIND("T",maze!M10))),O10+1,"")))))</f>
        <v>57</v>
      </c>
      <c r="P9" s="6" t="str">
        <f ca="1">IF(Reset=1,"",IF(AND(ISNUMBER(O9),ISERROR(FIND("L",maze!N9))),O9+1,IF(AND(ISNUMBER(P8),ISERROR(FIND("T",maze!N9))),P8+1,IF(AND(ISNUMBER(Q9),ISERROR(FIND("L",maze!O9))),Q9+1,IF(AND(ISNUMBER(P10),ISERROR(FIND("T",maze!N10))),P10+1,"")))))</f>
        <v/>
      </c>
      <c r="Q9" s="6" t="str">
        <f ca="1">IF(Reset=1,"",IF(AND(ISNUMBER(P9),ISERROR(FIND("L",maze!O9))),P9+1,IF(AND(ISNUMBER(Q8),ISERROR(FIND("T",maze!O9))),Q8+1,IF(AND(ISNUMBER(R9),ISERROR(FIND("L",maze!P9))),R9+1,IF(AND(ISNUMBER(Q10),ISERROR(FIND("T",maze!O10))),Q10+1,"")))))</f>
        <v/>
      </c>
      <c r="R9" s="6" t="str">
        <f ca="1">IF(Reset=1,"",IF(AND(ISNUMBER(Q9),ISERROR(FIND("L",maze!P9))),Q9+1,IF(AND(ISNUMBER(R8),ISERROR(FIND("T",maze!P9))),R8+1,IF(AND(ISNUMBER(S9),ISERROR(FIND("L",maze!Q9))),S9+1,IF(AND(ISNUMBER(R10),ISERROR(FIND("T",maze!P10))),R10+1,"")))))</f>
        <v/>
      </c>
      <c r="S9" s="7" t="str">
        <f ca="1">IF(Reset=1,"",IF(AND(ISNUMBER(R9),ISERROR(FIND("L",maze!Q9))),R9+1,IF(AND(ISNUMBER(S8),ISERROR(FIND("T",maze!Q9))),S8+1,IF(AND(ISNUMBER(T9),ISERROR(FIND("L",maze!R9))),T9+1,IF(AND(ISNUMBER(S10),ISERROR(FIND("T",maze!Q10))),S10+1,"")))))</f>
        <v/>
      </c>
      <c r="T9" t="str">
        <f>IF(maze!R9="","",maze!R9)</f>
        <v/>
      </c>
      <c r="V9" s="18">
        <f>1-(ABS(COLUMN()-COLUMN($V$3)-7)/15+ABS(ROW()-ROW($V$3)-7)/15)^2</f>
        <v>0.7155555555555555</v>
      </c>
      <c r="W9" s="19">
        <f>1-(ABS(COLUMN()-COLUMN($V$3)-7)/15+ABS(ROW()-ROW($V$3)-7)/15)^2</f>
        <v>0.78222222222222215</v>
      </c>
      <c r="X9" s="19">
        <f>1-(ABS(COLUMN()-COLUMN($V$3)-7)/15+ABS(ROW()-ROW($V$3)-7)/15)^2</f>
        <v>0.84000000000000008</v>
      </c>
      <c r="Y9" s="19">
        <f>1-(ABS(COLUMN()-COLUMN($V$3)-7)/15+ABS(ROW()-ROW($V$3)-7)/15)^2</f>
        <v>0.88888888888888884</v>
      </c>
      <c r="Z9" s="19">
        <f>1-(ABS(COLUMN()-COLUMN($V$3)-7)/15+ABS(ROW()-ROW($V$3)-7)/15)^2</f>
        <v>0.92888888888888888</v>
      </c>
      <c r="AA9" s="19">
        <f>1-(ABS(COLUMN()-COLUMN($V$3)-7)/15+ABS(ROW()-ROW($V$3)-7)/15)^2</f>
        <v>0.96</v>
      </c>
      <c r="AB9" s="19">
        <f>1-(ABS(COLUMN()-COLUMN($V$3)-7)/15+ABS(ROW()-ROW($V$3)-7)/15)^2</f>
        <v>0.98222222222222222</v>
      </c>
      <c r="AC9" s="19">
        <f>1-(ABS(COLUMN()-COLUMN($V$3)-7)/15+ABS(ROW()-ROW($V$3)-7)/15)^2</f>
        <v>0.99555555555555553</v>
      </c>
      <c r="AD9" s="19">
        <f>1-(ABS(COLUMN()-COLUMN($V$3)-7)/15+ABS(ROW()-ROW($V$3)-7)/15)^2</f>
        <v>0.98222222222222222</v>
      </c>
      <c r="AE9" s="19">
        <f>1-(ABS(COLUMN()-COLUMN($V$3)-7)/15+ABS(ROW()-ROW($V$3)-7)/15)^2</f>
        <v>0.96</v>
      </c>
      <c r="AF9" s="19">
        <f>1-(ABS(COLUMN()-COLUMN($V$3)-7)/15+ABS(ROW()-ROW($V$3)-7)/15)^2</f>
        <v>0.92888888888888888</v>
      </c>
      <c r="AG9" s="19">
        <f>1-(ABS(COLUMN()-COLUMN($V$3)-7)/15+ABS(ROW()-ROW($V$3)-7)/15)^2</f>
        <v>0.88888888888888884</v>
      </c>
      <c r="AH9" s="19">
        <f>1-(ABS(COLUMN()-COLUMN($V$3)-7)/15+ABS(ROW()-ROW($V$3)-7)/15)^2</f>
        <v>0.84000000000000008</v>
      </c>
      <c r="AI9" s="19">
        <f>1-(ABS(COLUMN()-COLUMN($V$3)-7)/15+ABS(ROW()-ROW($V$3)-7)/15)^2</f>
        <v>0.78222222222222215</v>
      </c>
      <c r="AJ9" s="20">
        <f>1-(ABS(COLUMN()-COLUMN($V$3)-7)/15+ABS(ROW()-ROW($V$3)-7)/15)^2</f>
        <v>0.7155555555555555</v>
      </c>
    </row>
    <row r="10" spans="2:36" x14ac:dyDescent="0.3">
      <c r="D10" s="1" t="str">
        <f>IF(maze!B10="","",1)</f>
        <v/>
      </c>
      <c r="E10" s="5" t="str">
        <f ca="1">IF(Reset=1,"",IF(AND(ISNUMBER(D10),ISERROR(FIND("L",maze!C10))),D10+1,IF(AND(ISNUMBER(E9),ISERROR(FIND("T",maze!C10))),E9+1,IF(AND(ISNUMBER(F10),ISERROR(FIND("L",maze!D10))),F10+1,IF(AND(ISNUMBER(E11),ISERROR(FIND("T",maze!C11))),E11+1,"")))))</f>
        <v/>
      </c>
      <c r="F10" s="6">
        <f ca="1">IF(Reset=1,"",IF(AND(ISNUMBER(E10),ISERROR(FIND("L",maze!D10))),E10+1,IF(AND(ISNUMBER(F9),ISERROR(FIND("T",maze!D10))),F9+1,IF(AND(ISNUMBER(G10),ISERROR(FIND("L",maze!E10))),G10+1,IF(AND(ISNUMBER(F11),ISERROR(FIND("T",maze!D11))),F11+1,"")))))</f>
        <v>49</v>
      </c>
      <c r="G10" s="6">
        <f ca="1">IF(Reset=1,"",IF(AND(ISNUMBER(F10),ISERROR(FIND("L",maze!E10))),F10+1,IF(AND(ISNUMBER(G9),ISERROR(FIND("T",maze!E10))),G9+1,IF(AND(ISNUMBER(H10),ISERROR(FIND("L",maze!F10))),H10+1,IF(AND(ISNUMBER(G11),ISERROR(FIND("T",maze!E11))),G11+1,"")))))</f>
        <v>50</v>
      </c>
      <c r="H10" s="6">
        <f ca="1">IF(Reset=1,"",IF(AND(ISNUMBER(G10),ISERROR(FIND("L",maze!F10))),G10+1,IF(AND(ISNUMBER(H9),ISERROR(FIND("T",maze!F10))),H9+1,IF(AND(ISNUMBER(I10),ISERROR(FIND("L",maze!G10))),I10+1,IF(AND(ISNUMBER(H11),ISERROR(FIND("T",maze!F11))),H11+1,"")))))</f>
        <v>51</v>
      </c>
      <c r="I10" s="6">
        <f ca="1">IF(Reset=1,"",IF(AND(ISNUMBER(H10),ISERROR(FIND("L",maze!G10))),H10+1,IF(AND(ISNUMBER(I9),ISERROR(FIND("T",maze!G10))),I9+1,IF(AND(ISNUMBER(J10),ISERROR(FIND("L",maze!H10))),J10+1,IF(AND(ISNUMBER(I11),ISERROR(FIND("T",maze!G11))),I11+1,"")))))</f>
        <v>52</v>
      </c>
      <c r="J10" s="6">
        <f ca="1">IF(Reset=1,"",IF(AND(ISNUMBER(I10),ISERROR(FIND("L",maze!H10))),I10+1,IF(AND(ISNUMBER(J9),ISERROR(FIND("T",maze!H10))),J9+1,IF(AND(ISNUMBER(K10),ISERROR(FIND("L",maze!I10))),K10+1,IF(AND(ISNUMBER(J11),ISERROR(FIND("T",maze!H11))),J11+1,"")))))</f>
        <v>53</v>
      </c>
      <c r="K10" s="6">
        <f ca="1">IF(Reset=1,"",IF(AND(ISNUMBER(J10),ISERROR(FIND("L",maze!I10))),J10+1,IF(AND(ISNUMBER(K9),ISERROR(FIND("T",maze!I10))),K9+1,IF(AND(ISNUMBER(L10),ISERROR(FIND("L",maze!J10))),L10+1,IF(AND(ISNUMBER(K11),ISERROR(FIND("T",maze!I11))),K11+1,"")))))</f>
        <v>54</v>
      </c>
      <c r="L10" s="6">
        <f ca="1">IF(Reset=1,"",IF(AND(ISNUMBER(K10),ISERROR(FIND("L",maze!J10))),K10+1,IF(AND(ISNUMBER(L9),ISERROR(FIND("T",maze!J10))),L9+1,IF(AND(ISNUMBER(M10),ISERROR(FIND("L",maze!K10))),M10+1,IF(AND(ISNUMBER(L11),ISERROR(FIND("T",maze!J11))),L11+1,"")))))</f>
        <v>55</v>
      </c>
      <c r="M10" s="6">
        <f ca="1">IF(Reset=1,"",IF(AND(ISNUMBER(L10),ISERROR(FIND("L",maze!K10))),L10+1,IF(AND(ISNUMBER(M9),ISERROR(FIND("T",maze!K10))),M9+1,IF(AND(ISNUMBER(N10),ISERROR(FIND("L",maze!L10))),N10+1,IF(AND(ISNUMBER(M11),ISERROR(FIND("T",maze!K11))),M11+1,"")))))</f>
        <v>56</v>
      </c>
      <c r="N10" s="6">
        <f ca="1">IF(Reset=1,"",IF(AND(ISNUMBER(M10),ISERROR(FIND("L",maze!L10))),M10+1,IF(AND(ISNUMBER(N9),ISERROR(FIND("T",maze!L10))),N9+1,IF(AND(ISNUMBER(O10),ISERROR(FIND("L",maze!M10))),O10+1,IF(AND(ISNUMBER(N11),ISERROR(FIND("T",maze!L11))),N11+1,"")))))</f>
        <v>57</v>
      </c>
      <c r="O10" s="6">
        <f ca="1">IF(Reset=1,"",IF(AND(ISNUMBER(N10),ISERROR(FIND("L",maze!M10))),N10+1,IF(AND(ISNUMBER(O9),ISERROR(FIND("T",maze!M10))),O9+1,IF(AND(ISNUMBER(P10),ISERROR(FIND("L",maze!N10))),P10+1,IF(AND(ISNUMBER(O11),ISERROR(FIND("T",maze!M11))),O11+1,"")))))</f>
        <v>58</v>
      </c>
      <c r="P10" s="6" t="str">
        <f ca="1">IF(Reset=1,"",IF(AND(ISNUMBER(O10),ISERROR(FIND("L",maze!N10))),O10+1,IF(AND(ISNUMBER(P9),ISERROR(FIND("T",maze!N10))),P9+1,IF(AND(ISNUMBER(Q10),ISERROR(FIND("L",maze!O10))),Q10+1,IF(AND(ISNUMBER(P11),ISERROR(FIND("T",maze!N11))),P11+1,"")))))</f>
        <v/>
      </c>
      <c r="Q10" s="6" t="str">
        <f ca="1">IF(Reset=1,"",IF(AND(ISNUMBER(P10),ISERROR(FIND("L",maze!O10))),P10+1,IF(AND(ISNUMBER(Q9),ISERROR(FIND("T",maze!O10))),Q9+1,IF(AND(ISNUMBER(R10),ISERROR(FIND("L",maze!P10))),R10+1,IF(AND(ISNUMBER(Q11),ISERROR(FIND("T",maze!O11))),Q11+1,"")))))</f>
        <v/>
      </c>
      <c r="R10" s="6" t="str">
        <f ca="1">IF(Reset=1,"",IF(AND(ISNUMBER(Q10),ISERROR(FIND("L",maze!P10))),Q10+1,IF(AND(ISNUMBER(R9),ISERROR(FIND("T",maze!P10))),R9+1,IF(AND(ISNUMBER(S10),ISERROR(FIND("L",maze!Q10))),S10+1,IF(AND(ISNUMBER(R11),ISERROR(FIND("T",maze!P11))),R11+1,"")))))</f>
        <v/>
      </c>
      <c r="S10" s="7" t="str">
        <f ca="1">IF(Reset=1,"",IF(AND(ISNUMBER(R10),ISERROR(FIND("L",maze!Q10))),R10+1,IF(AND(ISNUMBER(S9),ISERROR(FIND("T",maze!Q10))),S9+1,IF(AND(ISNUMBER(T10),ISERROR(FIND("L",maze!R10))),T10+1,IF(AND(ISNUMBER(S11),ISERROR(FIND("T",maze!Q11))),S11+1,"")))))</f>
        <v/>
      </c>
      <c r="T10" t="str">
        <f>IF(maze!R10="","",maze!R10)</f>
        <v/>
      </c>
      <c r="V10" s="18">
        <f>1-(ABS(COLUMN()-COLUMN($V$3)-7)/15+ABS(ROW()-ROW($V$3)-7)/15)^2</f>
        <v>0.78222222222222215</v>
      </c>
      <c r="W10" s="19">
        <f>1-(ABS(COLUMN()-COLUMN($V$3)-7)/15+ABS(ROW()-ROW($V$3)-7)/15)^2</f>
        <v>0.84</v>
      </c>
      <c r="X10" s="19">
        <f>1-(ABS(COLUMN()-COLUMN($V$3)-7)/15+ABS(ROW()-ROW($V$3)-7)/15)^2</f>
        <v>0.88888888888888884</v>
      </c>
      <c r="Y10" s="19">
        <f>1-(ABS(COLUMN()-COLUMN($V$3)-7)/15+ABS(ROW()-ROW($V$3)-7)/15)^2</f>
        <v>0.92888888888888888</v>
      </c>
      <c r="Z10" s="19">
        <f>1-(ABS(COLUMN()-COLUMN($V$3)-7)/15+ABS(ROW()-ROW($V$3)-7)/15)^2</f>
        <v>0.96</v>
      </c>
      <c r="AA10" s="19">
        <f>1-(ABS(COLUMN()-COLUMN($V$3)-7)/15+ABS(ROW()-ROW($V$3)-7)/15)^2</f>
        <v>0.98222222222222222</v>
      </c>
      <c r="AB10" s="19">
        <f>1-(ABS(COLUMN()-COLUMN($V$3)-7)/15+ABS(ROW()-ROW($V$3)-7)/15)^2</f>
        <v>0.99555555555555553</v>
      </c>
      <c r="AC10" s="19">
        <f>1-(ABS(COLUMN()-COLUMN($V$3)-7)/15+ABS(ROW()-ROW($V$3)-7)/15)^2</f>
        <v>1</v>
      </c>
      <c r="AD10" s="19">
        <f>1-(ABS(COLUMN()-COLUMN($V$3)-7)/15+ABS(ROW()-ROW($V$3)-7)/15)^2</f>
        <v>0.99555555555555553</v>
      </c>
      <c r="AE10" s="19">
        <f>1-(ABS(COLUMN()-COLUMN($V$3)-7)/15+ABS(ROW()-ROW($V$3)-7)/15)^2</f>
        <v>0.98222222222222222</v>
      </c>
      <c r="AF10" s="19">
        <f>1-(ABS(COLUMN()-COLUMN($V$3)-7)/15+ABS(ROW()-ROW($V$3)-7)/15)^2</f>
        <v>0.96</v>
      </c>
      <c r="AG10" s="19">
        <f>1-(ABS(COLUMN()-COLUMN($V$3)-7)/15+ABS(ROW()-ROW($V$3)-7)/15)^2</f>
        <v>0.92888888888888888</v>
      </c>
      <c r="AH10" s="19">
        <f>1-(ABS(COLUMN()-COLUMN($V$3)-7)/15+ABS(ROW()-ROW($V$3)-7)/15)^2</f>
        <v>0.88888888888888884</v>
      </c>
      <c r="AI10" s="19">
        <f>1-(ABS(COLUMN()-COLUMN($V$3)-7)/15+ABS(ROW()-ROW($V$3)-7)/15)^2</f>
        <v>0.84</v>
      </c>
      <c r="AJ10" s="20">
        <f>1-(ABS(COLUMN()-COLUMN($V$3)-7)/15+ABS(ROW()-ROW($V$3)-7)/15)^2</f>
        <v>0.78222222222222215</v>
      </c>
    </row>
    <row r="11" spans="2:36" x14ac:dyDescent="0.3">
      <c r="D11" s="1" t="str">
        <f>IF(maze!B11="","",1)</f>
        <v/>
      </c>
      <c r="E11" s="5" t="str">
        <f ca="1">IF(Reset=1,"",IF(AND(ISNUMBER(D11),ISERROR(FIND("L",maze!C11))),D11+1,IF(AND(ISNUMBER(E10),ISERROR(FIND("T",maze!C11))),E10+1,IF(AND(ISNUMBER(F11),ISERROR(FIND("L",maze!D11))),F11+1,IF(AND(ISNUMBER(E12),ISERROR(FIND("T",maze!C12))),E12+1,"")))))</f>
        <v/>
      </c>
      <c r="F11" s="6">
        <f ca="1">IF(Reset=1,"",IF(AND(ISNUMBER(E11),ISERROR(FIND("L",maze!D11))),E11+1,IF(AND(ISNUMBER(F10),ISERROR(FIND("T",maze!D11))),F10+1,IF(AND(ISNUMBER(G11),ISERROR(FIND("L",maze!E11))),G11+1,IF(AND(ISNUMBER(F12),ISERROR(FIND("T",maze!D12))),F12+1,"")))))</f>
        <v>50</v>
      </c>
      <c r="G11" s="6">
        <f ca="1">IF(Reset=1,"",IF(AND(ISNUMBER(F11),ISERROR(FIND("L",maze!E11))),F11+1,IF(AND(ISNUMBER(G10),ISERROR(FIND("T",maze!E11))),G10+1,IF(AND(ISNUMBER(H11),ISERROR(FIND("L",maze!F11))),H11+1,IF(AND(ISNUMBER(G12),ISERROR(FIND("T",maze!E12))),G12+1,"")))))</f>
        <v>51</v>
      </c>
      <c r="H11" s="6">
        <f ca="1">IF(Reset=1,"",IF(AND(ISNUMBER(G11),ISERROR(FIND("L",maze!F11))),G11+1,IF(AND(ISNUMBER(H10),ISERROR(FIND("T",maze!F11))),H10+1,IF(AND(ISNUMBER(I11),ISERROR(FIND("L",maze!G11))),I11+1,IF(AND(ISNUMBER(H12),ISERROR(FIND("T",maze!F12))),H12+1,"")))))</f>
        <v>52</v>
      </c>
      <c r="I11" s="6">
        <f ca="1">IF(Reset=1,"",IF(AND(ISNUMBER(H11),ISERROR(FIND("L",maze!G11))),H11+1,IF(AND(ISNUMBER(I10),ISERROR(FIND("T",maze!G11))),I10+1,IF(AND(ISNUMBER(J11),ISERROR(FIND("L",maze!H11))),J11+1,IF(AND(ISNUMBER(I12),ISERROR(FIND("T",maze!G12))),I12+1,"")))))</f>
        <v>53</v>
      </c>
      <c r="J11" s="6">
        <f ca="1">IF(Reset=1,"",IF(AND(ISNUMBER(I11),ISERROR(FIND("L",maze!H11))),I11+1,IF(AND(ISNUMBER(J10),ISERROR(FIND("T",maze!H11))),J10+1,IF(AND(ISNUMBER(K11),ISERROR(FIND("L",maze!I11))),K11+1,IF(AND(ISNUMBER(J12),ISERROR(FIND("T",maze!H12))),J12+1,"")))))</f>
        <v>54</v>
      </c>
      <c r="K11" s="6">
        <f ca="1">IF(Reset=1,"",IF(AND(ISNUMBER(J11),ISERROR(FIND("L",maze!I11))),J11+1,IF(AND(ISNUMBER(K10),ISERROR(FIND("T",maze!I11))),K10+1,IF(AND(ISNUMBER(L11),ISERROR(FIND("L",maze!J11))),L11+1,IF(AND(ISNUMBER(K12),ISERROR(FIND("T",maze!I12))),K12+1,"")))))</f>
        <v>55</v>
      </c>
      <c r="L11" s="6">
        <f ca="1">IF(Reset=1,"",IF(AND(ISNUMBER(K11),ISERROR(FIND("L",maze!J11))),K11+1,IF(AND(ISNUMBER(L10),ISERROR(FIND("T",maze!J11))),L10+1,IF(AND(ISNUMBER(M11),ISERROR(FIND("L",maze!K11))),M11+1,IF(AND(ISNUMBER(L12),ISERROR(FIND("T",maze!J12))),L12+1,"")))))</f>
        <v>56</v>
      </c>
      <c r="M11" s="6">
        <f ca="1">IF(Reset=1,"",IF(AND(ISNUMBER(L11),ISERROR(FIND("L",maze!K11))),L11+1,IF(AND(ISNUMBER(M10),ISERROR(FIND("T",maze!K11))),M10+1,IF(AND(ISNUMBER(N11),ISERROR(FIND("L",maze!L11))),N11+1,IF(AND(ISNUMBER(M12),ISERROR(FIND("T",maze!K12))),M12+1,"")))))</f>
        <v>57</v>
      </c>
      <c r="N11" s="6">
        <f ca="1">IF(Reset=1,"",IF(AND(ISNUMBER(M11),ISERROR(FIND("L",maze!L11))),M11+1,IF(AND(ISNUMBER(N10),ISERROR(FIND("T",maze!L11))),N10+1,IF(AND(ISNUMBER(O11),ISERROR(FIND("L",maze!M11))),O11+1,IF(AND(ISNUMBER(N12),ISERROR(FIND("T",maze!L12))),N12+1,"")))))</f>
        <v>58</v>
      </c>
      <c r="O11" s="6">
        <f ca="1">IF(Reset=1,"",IF(AND(ISNUMBER(N11),ISERROR(FIND("L",maze!M11))),N11+1,IF(AND(ISNUMBER(O10),ISERROR(FIND("T",maze!M11))),O10+1,IF(AND(ISNUMBER(P11),ISERROR(FIND("L",maze!N11))),P11+1,IF(AND(ISNUMBER(O12),ISERROR(FIND("T",maze!M12))),O12+1,"")))))</f>
        <v>59</v>
      </c>
      <c r="P11" s="6" t="str">
        <f ca="1">IF(Reset=1,"",IF(AND(ISNUMBER(O11),ISERROR(FIND("L",maze!N11))),O11+1,IF(AND(ISNUMBER(P10),ISERROR(FIND("T",maze!N11))),P10+1,IF(AND(ISNUMBER(Q11),ISERROR(FIND("L",maze!O11))),Q11+1,IF(AND(ISNUMBER(P12),ISERROR(FIND("T",maze!N12))),P12+1,"")))))</f>
        <v/>
      </c>
      <c r="Q11" s="6" t="str">
        <f ca="1">IF(Reset=1,"",IF(AND(ISNUMBER(P11),ISERROR(FIND("L",maze!O11))),P11+1,IF(AND(ISNUMBER(Q10),ISERROR(FIND("T",maze!O11))),Q10+1,IF(AND(ISNUMBER(R11),ISERROR(FIND("L",maze!P11))),R11+1,IF(AND(ISNUMBER(Q12),ISERROR(FIND("T",maze!O12))),Q12+1,"")))))</f>
        <v/>
      </c>
      <c r="R11" s="6" t="str">
        <f ca="1">IF(Reset=1,"",IF(AND(ISNUMBER(Q11),ISERROR(FIND("L",maze!P11))),Q11+1,IF(AND(ISNUMBER(R10),ISERROR(FIND("T",maze!P11))),R10+1,IF(AND(ISNUMBER(S11),ISERROR(FIND("L",maze!Q11))),S11+1,IF(AND(ISNUMBER(R12),ISERROR(FIND("T",maze!P12))),R12+1,"")))))</f>
        <v/>
      </c>
      <c r="S11" s="7" t="str">
        <f ca="1">IF(Reset=1,"",IF(AND(ISNUMBER(R11),ISERROR(FIND("L",maze!Q11))),R11+1,IF(AND(ISNUMBER(S10),ISERROR(FIND("T",maze!Q11))),S10+1,IF(AND(ISNUMBER(T11),ISERROR(FIND("L",maze!R11))),T11+1,IF(AND(ISNUMBER(S12),ISERROR(FIND("T",maze!Q12))),S12+1,"")))))</f>
        <v/>
      </c>
      <c r="T11" t="str">
        <f>IF(maze!R11="","",maze!R11)</f>
        <v/>
      </c>
      <c r="V11" s="18">
        <f>1-(ABS(COLUMN()-COLUMN($V$3)-7)/15+ABS(ROW()-ROW($V$3)-7)/15)^2</f>
        <v>0.7155555555555555</v>
      </c>
      <c r="W11" s="19">
        <f>1-(ABS(COLUMN()-COLUMN($V$3)-7)/15+ABS(ROW()-ROW($V$3)-7)/15)^2</f>
        <v>0.78222222222222215</v>
      </c>
      <c r="X11" s="19">
        <f>1-(ABS(COLUMN()-COLUMN($V$3)-7)/15+ABS(ROW()-ROW($V$3)-7)/15)^2</f>
        <v>0.84000000000000008</v>
      </c>
      <c r="Y11" s="19">
        <f>1-(ABS(COLUMN()-COLUMN($V$3)-7)/15+ABS(ROW()-ROW($V$3)-7)/15)^2</f>
        <v>0.88888888888888884</v>
      </c>
      <c r="Z11" s="19">
        <f>1-(ABS(COLUMN()-COLUMN($V$3)-7)/15+ABS(ROW()-ROW($V$3)-7)/15)^2</f>
        <v>0.92888888888888888</v>
      </c>
      <c r="AA11" s="19">
        <f>1-(ABS(COLUMN()-COLUMN($V$3)-7)/15+ABS(ROW()-ROW($V$3)-7)/15)^2</f>
        <v>0.96</v>
      </c>
      <c r="AB11" s="19">
        <f>1-(ABS(COLUMN()-COLUMN($V$3)-7)/15+ABS(ROW()-ROW($V$3)-7)/15)^2</f>
        <v>0.98222222222222222</v>
      </c>
      <c r="AC11" s="19">
        <f>1-(ABS(COLUMN()-COLUMN($V$3)-7)/15+ABS(ROW()-ROW($V$3)-7)/15)^2</f>
        <v>0.99555555555555553</v>
      </c>
      <c r="AD11" s="19">
        <f>1-(ABS(COLUMN()-COLUMN($V$3)-7)/15+ABS(ROW()-ROW($V$3)-7)/15)^2</f>
        <v>0.98222222222222222</v>
      </c>
      <c r="AE11" s="19">
        <f>1-(ABS(COLUMN()-COLUMN($V$3)-7)/15+ABS(ROW()-ROW($V$3)-7)/15)^2</f>
        <v>0.96</v>
      </c>
      <c r="AF11" s="19">
        <f>1-(ABS(COLUMN()-COLUMN($V$3)-7)/15+ABS(ROW()-ROW($V$3)-7)/15)^2</f>
        <v>0.92888888888888888</v>
      </c>
      <c r="AG11" s="19">
        <f>1-(ABS(COLUMN()-COLUMN($V$3)-7)/15+ABS(ROW()-ROW($V$3)-7)/15)^2</f>
        <v>0.88888888888888884</v>
      </c>
      <c r="AH11" s="19">
        <f>1-(ABS(COLUMN()-COLUMN($V$3)-7)/15+ABS(ROW()-ROW($V$3)-7)/15)^2</f>
        <v>0.84000000000000008</v>
      </c>
      <c r="AI11" s="19">
        <f>1-(ABS(COLUMN()-COLUMN($V$3)-7)/15+ABS(ROW()-ROW($V$3)-7)/15)^2</f>
        <v>0.78222222222222215</v>
      </c>
      <c r="AJ11" s="20">
        <f>1-(ABS(COLUMN()-COLUMN($V$3)-7)/15+ABS(ROW()-ROW($V$3)-7)/15)^2</f>
        <v>0.7155555555555555</v>
      </c>
    </row>
    <row r="12" spans="2:36" x14ac:dyDescent="0.3">
      <c r="D12" s="1" t="str">
        <f>IF(maze!B12="","",1)</f>
        <v/>
      </c>
      <c r="E12" s="5" t="str">
        <f ca="1">IF(Reset=1,"",IF(AND(ISNUMBER(D12),ISERROR(FIND("L",maze!C12))),D12+1,IF(AND(ISNUMBER(E11),ISERROR(FIND("T",maze!C12))),E11+1,IF(AND(ISNUMBER(F12),ISERROR(FIND("L",maze!D12))),F12+1,IF(AND(ISNUMBER(E13),ISERROR(FIND("T",maze!C13))),E13+1,"")))))</f>
        <v/>
      </c>
      <c r="F12" s="6" t="str">
        <f ca="1">IF(Reset=1,"",IF(AND(ISNUMBER(E12),ISERROR(FIND("L",maze!D12))),E12+1,IF(AND(ISNUMBER(F11),ISERROR(FIND("T",maze!D12))),F11+1,IF(AND(ISNUMBER(G12),ISERROR(FIND("L",maze!E12))),G12+1,IF(AND(ISNUMBER(F13),ISERROR(FIND("T",maze!D13))),F13+1,"")))))</f>
        <v/>
      </c>
      <c r="G12" s="6">
        <f ca="1">IF(Reset=1,"",IF(AND(ISNUMBER(F12),ISERROR(FIND("L",maze!E12))),F12+1,IF(AND(ISNUMBER(G11),ISERROR(FIND("T",maze!E12))),G11+1,IF(AND(ISNUMBER(H12),ISERROR(FIND("L",maze!F12))),H12+1,IF(AND(ISNUMBER(G13),ISERROR(FIND("T",maze!E13))),G13+1,"")))))</f>
        <v>52</v>
      </c>
      <c r="H12" s="6">
        <f ca="1">IF(Reset=1,"",IF(AND(ISNUMBER(G12),ISERROR(FIND("L",maze!F12))),G12+1,IF(AND(ISNUMBER(H11),ISERROR(FIND("T",maze!F12))),H11+1,IF(AND(ISNUMBER(I12),ISERROR(FIND("L",maze!G12))),I12+1,IF(AND(ISNUMBER(H13),ISERROR(FIND("T",maze!F13))),H13+1,"")))))</f>
        <v>53</v>
      </c>
      <c r="I12" s="6">
        <f ca="1">IF(Reset=1,"",IF(AND(ISNUMBER(H12),ISERROR(FIND("L",maze!G12))),H12+1,IF(AND(ISNUMBER(I11),ISERROR(FIND("T",maze!G12))),I11+1,IF(AND(ISNUMBER(J12),ISERROR(FIND("L",maze!H12))),J12+1,IF(AND(ISNUMBER(I13),ISERROR(FIND("T",maze!G13))),I13+1,"")))))</f>
        <v>54</v>
      </c>
      <c r="J12" s="6">
        <f ca="1">IF(Reset=1,"",IF(AND(ISNUMBER(I12),ISERROR(FIND("L",maze!H12))),I12+1,IF(AND(ISNUMBER(J11),ISERROR(FIND("T",maze!H12))),J11+1,IF(AND(ISNUMBER(K12),ISERROR(FIND("L",maze!I12))),K12+1,IF(AND(ISNUMBER(J13),ISERROR(FIND("T",maze!H13))),J13+1,"")))))</f>
        <v>55</v>
      </c>
      <c r="K12" s="6">
        <f ca="1">IF(Reset=1,"",IF(AND(ISNUMBER(J12),ISERROR(FIND("L",maze!I12))),J12+1,IF(AND(ISNUMBER(K11),ISERROR(FIND("T",maze!I12))),K11+1,IF(AND(ISNUMBER(L12),ISERROR(FIND("L",maze!J12))),L12+1,IF(AND(ISNUMBER(K13),ISERROR(FIND("T",maze!I13))),K13+1,"")))))</f>
        <v>56</v>
      </c>
      <c r="L12" s="6">
        <f ca="1">IF(Reset=1,"",IF(AND(ISNUMBER(K12),ISERROR(FIND("L",maze!J12))),K12+1,IF(AND(ISNUMBER(L11),ISERROR(FIND("T",maze!J12))),L11+1,IF(AND(ISNUMBER(M12),ISERROR(FIND("L",maze!K12))),M12+1,IF(AND(ISNUMBER(L13),ISERROR(FIND("T",maze!J13))),L13+1,"")))))</f>
        <v>57</v>
      </c>
      <c r="M12" s="6" t="str">
        <f ca="1">IF(Reset=1,"",IF(AND(ISNUMBER(L12),ISERROR(FIND("L",maze!K12))),L12+1,IF(AND(ISNUMBER(M11),ISERROR(FIND("T",maze!K12))),M11+1,IF(AND(ISNUMBER(N12),ISERROR(FIND("L",maze!L12))),N12+1,IF(AND(ISNUMBER(M13),ISERROR(FIND("T",maze!K13))),M13+1,"")))))</f>
        <v/>
      </c>
      <c r="N12" s="6">
        <f ca="1">IF(Reset=1,"",IF(AND(ISNUMBER(M12),ISERROR(FIND("L",maze!L12))),M12+1,IF(AND(ISNUMBER(N11),ISERROR(FIND("T",maze!L12))),N11+1,IF(AND(ISNUMBER(O12),ISERROR(FIND("L",maze!M12))),O12+1,IF(AND(ISNUMBER(N13),ISERROR(FIND("T",maze!L13))),N13+1,"")))))</f>
        <v>59</v>
      </c>
      <c r="O12" s="6">
        <f ca="1">IF(Reset=1,"",IF(AND(ISNUMBER(N12),ISERROR(FIND("L",maze!M12))),N12+1,IF(AND(ISNUMBER(O11),ISERROR(FIND("T",maze!M12))),O11+1,IF(AND(ISNUMBER(P12),ISERROR(FIND("L",maze!N12))),P12+1,IF(AND(ISNUMBER(O13),ISERROR(FIND("T",maze!M13))),O13+1,"")))))</f>
        <v>60</v>
      </c>
      <c r="P12" s="6" t="str">
        <f ca="1">IF(Reset=1,"",IF(AND(ISNUMBER(O12),ISERROR(FIND("L",maze!N12))),O12+1,IF(AND(ISNUMBER(P11),ISERROR(FIND("T",maze!N12))),P11+1,IF(AND(ISNUMBER(Q12),ISERROR(FIND("L",maze!O12))),Q12+1,IF(AND(ISNUMBER(P13),ISERROR(FIND("T",maze!N13))),P13+1,"")))))</f>
        <v/>
      </c>
      <c r="Q12" s="6" t="str">
        <f ca="1">IF(Reset=1,"",IF(AND(ISNUMBER(P12),ISERROR(FIND("L",maze!O12))),P12+1,IF(AND(ISNUMBER(Q11),ISERROR(FIND("T",maze!O12))),Q11+1,IF(AND(ISNUMBER(R12),ISERROR(FIND("L",maze!P12))),R12+1,IF(AND(ISNUMBER(Q13),ISERROR(FIND("T",maze!O13))),Q13+1,"")))))</f>
        <v/>
      </c>
      <c r="R12" s="6" t="str">
        <f ca="1">IF(Reset=1,"",IF(AND(ISNUMBER(Q12),ISERROR(FIND("L",maze!P12))),Q12+1,IF(AND(ISNUMBER(R11),ISERROR(FIND("T",maze!P12))),R11+1,IF(AND(ISNUMBER(S12),ISERROR(FIND("L",maze!Q12))),S12+1,IF(AND(ISNUMBER(R13),ISERROR(FIND("T",maze!P13))),R13+1,"")))))</f>
        <v/>
      </c>
      <c r="S12" s="7" t="str">
        <f ca="1">IF(Reset=1,"",IF(AND(ISNUMBER(R12),ISERROR(FIND("L",maze!Q12))),R12+1,IF(AND(ISNUMBER(S11),ISERROR(FIND("T",maze!Q12))),S11+1,IF(AND(ISNUMBER(T12),ISERROR(FIND("L",maze!R12))),T12+1,IF(AND(ISNUMBER(S13),ISERROR(FIND("T",maze!Q13))),S13+1,"")))))</f>
        <v/>
      </c>
      <c r="T12" t="str">
        <f>IF(maze!R12="","",maze!R12)</f>
        <v/>
      </c>
      <c r="V12" s="18">
        <f>1-(ABS(COLUMN()-COLUMN($V$3)-7)/15+ABS(ROW()-ROW($V$3)-7)/15)^2</f>
        <v>0.64</v>
      </c>
      <c r="W12" s="19">
        <f>1-(ABS(COLUMN()-COLUMN($V$3)-7)/15+ABS(ROW()-ROW($V$3)-7)/15)^2</f>
        <v>0.7155555555555555</v>
      </c>
      <c r="X12" s="19">
        <f>1-(ABS(COLUMN()-COLUMN($V$3)-7)/15+ABS(ROW()-ROW($V$3)-7)/15)^2</f>
        <v>0.78222222222222215</v>
      </c>
      <c r="Y12" s="19">
        <f>1-(ABS(COLUMN()-COLUMN($V$3)-7)/15+ABS(ROW()-ROW($V$3)-7)/15)^2</f>
        <v>0.84</v>
      </c>
      <c r="Z12" s="19">
        <f>1-(ABS(COLUMN()-COLUMN($V$3)-7)/15+ABS(ROW()-ROW($V$3)-7)/15)^2</f>
        <v>0.88888888888888884</v>
      </c>
      <c r="AA12" s="19">
        <f>1-(ABS(COLUMN()-COLUMN($V$3)-7)/15+ABS(ROW()-ROW($V$3)-7)/15)^2</f>
        <v>0.92888888888888888</v>
      </c>
      <c r="AB12" s="19">
        <f>1-(ABS(COLUMN()-COLUMN($V$3)-7)/15+ABS(ROW()-ROW($V$3)-7)/15)^2</f>
        <v>0.96</v>
      </c>
      <c r="AC12" s="19">
        <f>1-(ABS(COLUMN()-COLUMN($V$3)-7)/15+ABS(ROW()-ROW($V$3)-7)/15)^2</f>
        <v>0.98222222222222222</v>
      </c>
      <c r="AD12" s="19">
        <f>1-(ABS(COLUMN()-COLUMN($V$3)-7)/15+ABS(ROW()-ROW($V$3)-7)/15)^2</f>
        <v>0.96</v>
      </c>
      <c r="AE12" s="19">
        <f>1-(ABS(COLUMN()-COLUMN($V$3)-7)/15+ABS(ROW()-ROW($V$3)-7)/15)^2</f>
        <v>0.92888888888888888</v>
      </c>
      <c r="AF12" s="19">
        <f>1-(ABS(COLUMN()-COLUMN($V$3)-7)/15+ABS(ROW()-ROW($V$3)-7)/15)^2</f>
        <v>0.88888888888888884</v>
      </c>
      <c r="AG12" s="19">
        <f>1-(ABS(COLUMN()-COLUMN($V$3)-7)/15+ABS(ROW()-ROW($V$3)-7)/15)^2</f>
        <v>0.84</v>
      </c>
      <c r="AH12" s="19">
        <f>1-(ABS(COLUMN()-COLUMN($V$3)-7)/15+ABS(ROW()-ROW($V$3)-7)/15)^2</f>
        <v>0.78222222222222215</v>
      </c>
      <c r="AI12" s="19">
        <f>1-(ABS(COLUMN()-COLUMN($V$3)-7)/15+ABS(ROW()-ROW($V$3)-7)/15)^2</f>
        <v>0.7155555555555555</v>
      </c>
      <c r="AJ12" s="20">
        <f>1-(ABS(COLUMN()-COLUMN($V$3)-7)/15+ABS(ROW()-ROW($V$3)-7)/15)^2</f>
        <v>0.64</v>
      </c>
    </row>
    <row r="13" spans="2:36" x14ac:dyDescent="0.3">
      <c r="D13" s="1" t="str">
        <f>IF(maze!B13="","",1)</f>
        <v/>
      </c>
      <c r="E13" s="5" t="str">
        <f ca="1">IF(Reset=1,"",IF(AND(ISNUMBER(D13),ISERROR(FIND("L",maze!C13))),D13+1,IF(AND(ISNUMBER(E12),ISERROR(FIND("T",maze!C13))),E12+1,IF(AND(ISNUMBER(F13),ISERROR(FIND("L",maze!D13))),F13+1,IF(AND(ISNUMBER(E14),ISERROR(FIND("T",maze!C14))),E14+1,"")))))</f>
        <v/>
      </c>
      <c r="F13" s="6" t="str">
        <f ca="1">IF(Reset=1,"",IF(AND(ISNUMBER(E13),ISERROR(FIND("L",maze!D13))),E13+1,IF(AND(ISNUMBER(F12),ISERROR(FIND("T",maze!D13))),F12+1,IF(AND(ISNUMBER(G13),ISERROR(FIND("L",maze!E13))),G13+1,IF(AND(ISNUMBER(F14),ISERROR(FIND("T",maze!D14))),F14+1,"")))))</f>
        <v/>
      </c>
      <c r="G13" s="6">
        <f ca="1">IF(Reset=1,"",IF(AND(ISNUMBER(F13),ISERROR(FIND("L",maze!E13))),F13+1,IF(AND(ISNUMBER(G12),ISERROR(FIND("T",maze!E13))),G12+1,IF(AND(ISNUMBER(H13),ISERROR(FIND("L",maze!F13))),H13+1,IF(AND(ISNUMBER(G14),ISERROR(FIND("T",maze!E14))),G14+1,"")))))</f>
        <v>53</v>
      </c>
      <c r="H13" s="6">
        <f ca="1">IF(Reset=1,"",IF(AND(ISNUMBER(G13),ISERROR(FIND("L",maze!F13))),G13+1,IF(AND(ISNUMBER(H12),ISERROR(FIND("T",maze!F13))),H12+1,IF(AND(ISNUMBER(I13),ISERROR(FIND("L",maze!G13))),I13+1,IF(AND(ISNUMBER(H14),ISERROR(FIND("T",maze!F14))),H14+1,"")))))</f>
        <v>54</v>
      </c>
      <c r="I13" s="6">
        <f ca="1">IF(Reset=1,"",IF(AND(ISNUMBER(H13),ISERROR(FIND("L",maze!G13))),H13+1,IF(AND(ISNUMBER(I12),ISERROR(FIND("T",maze!G13))),I12+1,IF(AND(ISNUMBER(J13),ISERROR(FIND("L",maze!H13))),J13+1,IF(AND(ISNUMBER(I14),ISERROR(FIND("T",maze!G14))),I14+1,"")))))</f>
        <v>55</v>
      </c>
      <c r="J13" s="6">
        <f ca="1">IF(Reset=1,"",IF(AND(ISNUMBER(I13),ISERROR(FIND("L",maze!H13))),I13+1,IF(AND(ISNUMBER(J12),ISERROR(FIND("T",maze!H13))),J12+1,IF(AND(ISNUMBER(K13),ISERROR(FIND("L",maze!I13))),K13+1,IF(AND(ISNUMBER(J14),ISERROR(FIND("T",maze!H14))),J14+1,"")))))</f>
        <v>56</v>
      </c>
      <c r="K13" s="6">
        <f ca="1">IF(Reset=1,"",IF(AND(ISNUMBER(J13),ISERROR(FIND("L",maze!I13))),J13+1,IF(AND(ISNUMBER(K12),ISERROR(FIND("T",maze!I13))),K12+1,IF(AND(ISNUMBER(L13),ISERROR(FIND("L",maze!J13))),L13+1,IF(AND(ISNUMBER(K14),ISERROR(FIND("T",maze!I14))),K14+1,"")))))</f>
        <v>57</v>
      </c>
      <c r="L13" s="6">
        <f ca="1">IF(Reset=1,"",IF(AND(ISNUMBER(K13),ISERROR(FIND("L",maze!J13))),K13+1,IF(AND(ISNUMBER(L12),ISERROR(FIND("T",maze!J13))),L12+1,IF(AND(ISNUMBER(M13),ISERROR(FIND("L",maze!K13))),M13+1,IF(AND(ISNUMBER(L14),ISERROR(FIND("T",maze!J14))),L14+1,"")))))</f>
        <v>58</v>
      </c>
      <c r="M13" s="6" t="str">
        <f ca="1">IF(Reset=1,"",IF(AND(ISNUMBER(L13),ISERROR(FIND("L",maze!K13))),L13+1,IF(AND(ISNUMBER(M12),ISERROR(FIND("T",maze!K13))),M12+1,IF(AND(ISNUMBER(N13),ISERROR(FIND("L",maze!L13))),N13+1,IF(AND(ISNUMBER(M14),ISERROR(FIND("T",maze!K14))),M14+1,"")))))</f>
        <v/>
      </c>
      <c r="N13" s="6">
        <f ca="1">IF(Reset=1,"",IF(AND(ISNUMBER(M13),ISERROR(FIND("L",maze!L13))),M13+1,IF(AND(ISNUMBER(N12),ISERROR(FIND("T",maze!L13))),N12+1,IF(AND(ISNUMBER(O13),ISERROR(FIND("L",maze!M13))),O13+1,IF(AND(ISNUMBER(N14),ISERROR(FIND("T",maze!L14))),N14+1,"")))))</f>
        <v>60</v>
      </c>
      <c r="O13" s="6">
        <f ca="1">IF(Reset=1,"",IF(AND(ISNUMBER(N13),ISERROR(FIND("L",maze!M13))),N13+1,IF(AND(ISNUMBER(O12),ISERROR(FIND("T",maze!M13))),O12+1,IF(AND(ISNUMBER(P13),ISERROR(FIND("L",maze!N13))),P13+1,IF(AND(ISNUMBER(O14),ISERROR(FIND("T",maze!M14))),O14+1,"")))))</f>
        <v>61</v>
      </c>
      <c r="P13" s="6" t="str">
        <f ca="1">IF(Reset=1,"",IF(AND(ISNUMBER(O13),ISERROR(FIND("L",maze!N13))),O13+1,IF(AND(ISNUMBER(P12),ISERROR(FIND("T",maze!N13))),P12+1,IF(AND(ISNUMBER(Q13),ISERROR(FIND("L",maze!O13))),Q13+1,IF(AND(ISNUMBER(P14),ISERROR(FIND("T",maze!N14))),P14+1,"")))))</f>
        <v/>
      </c>
      <c r="Q13" s="6" t="str">
        <f ca="1">IF(Reset=1,"",IF(AND(ISNUMBER(P13),ISERROR(FIND("L",maze!O13))),P13+1,IF(AND(ISNUMBER(Q12),ISERROR(FIND("T",maze!O13))),Q12+1,IF(AND(ISNUMBER(R13),ISERROR(FIND("L",maze!P13))),R13+1,IF(AND(ISNUMBER(Q14),ISERROR(FIND("T",maze!O14))),Q14+1,"")))))</f>
        <v/>
      </c>
      <c r="R13" s="6" t="str">
        <f ca="1">IF(Reset=1,"",IF(AND(ISNUMBER(Q13),ISERROR(FIND("L",maze!P13))),Q13+1,IF(AND(ISNUMBER(R12),ISERROR(FIND("T",maze!P13))),R12+1,IF(AND(ISNUMBER(S13),ISERROR(FIND("L",maze!Q13))),S13+1,IF(AND(ISNUMBER(R14),ISERROR(FIND("T",maze!P14))),R14+1,"")))))</f>
        <v/>
      </c>
      <c r="S13" s="7" t="str">
        <f ca="1">IF(Reset=1,"",IF(AND(ISNUMBER(R13),ISERROR(FIND("L",maze!Q13))),R13+1,IF(AND(ISNUMBER(S12),ISERROR(FIND("T",maze!Q13))),S12+1,IF(AND(ISNUMBER(T13),ISERROR(FIND("L",maze!R13))),T13+1,IF(AND(ISNUMBER(S14),ISERROR(FIND("T",maze!Q14))),S14+1,"")))))</f>
        <v/>
      </c>
      <c r="T13" t="str">
        <f>IF(maze!R13="","",maze!R13)</f>
        <v/>
      </c>
      <c r="V13" s="18">
        <f>1-(ABS(COLUMN()-COLUMN($V$3)-7)/15+ABS(ROW()-ROW($V$3)-7)/15)^2</f>
        <v>0.55555555555555547</v>
      </c>
      <c r="W13" s="19">
        <f>1-(ABS(COLUMN()-COLUMN($V$3)-7)/15+ABS(ROW()-ROW($V$3)-7)/15)^2</f>
        <v>0.6399999999999999</v>
      </c>
      <c r="X13" s="19">
        <f>1-(ABS(COLUMN()-COLUMN($V$3)-7)/15+ABS(ROW()-ROW($V$3)-7)/15)^2</f>
        <v>0.7155555555555555</v>
      </c>
      <c r="Y13" s="19">
        <f>1-(ABS(COLUMN()-COLUMN($V$3)-7)/15+ABS(ROW()-ROW($V$3)-7)/15)^2</f>
        <v>0.78222222222222215</v>
      </c>
      <c r="Z13" s="19">
        <f>1-(ABS(COLUMN()-COLUMN($V$3)-7)/15+ABS(ROW()-ROW($V$3)-7)/15)^2</f>
        <v>0.84</v>
      </c>
      <c r="AA13" s="19">
        <f>1-(ABS(COLUMN()-COLUMN($V$3)-7)/15+ABS(ROW()-ROW($V$3)-7)/15)^2</f>
        <v>0.88888888888888884</v>
      </c>
      <c r="AB13" s="19">
        <f>1-(ABS(COLUMN()-COLUMN($V$3)-7)/15+ABS(ROW()-ROW($V$3)-7)/15)^2</f>
        <v>0.92888888888888888</v>
      </c>
      <c r="AC13" s="19">
        <f>1-(ABS(COLUMN()-COLUMN($V$3)-7)/15+ABS(ROW()-ROW($V$3)-7)/15)^2</f>
        <v>0.96</v>
      </c>
      <c r="AD13" s="19">
        <f>1-(ABS(COLUMN()-COLUMN($V$3)-7)/15+ABS(ROW()-ROW($V$3)-7)/15)^2</f>
        <v>0.92888888888888888</v>
      </c>
      <c r="AE13" s="19">
        <f>1-(ABS(COLUMN()-COLUMN($V$3)-7)/15+ABS(ROW()-ROW($V$3)-7)/15)^2</f>
        <v>0.88888888888888884</v>
      </c>
      <c r="AF13" s="19">
        <f>1-(ABS(COLUMN()-COLUMN($V$3)-7)/15+ABS(ROW()-ROW($V$3)-7)/15)^2</f>
        <v>0.84</v>
      </c>
      <c r="AG13" s="19">
        <f>1-(ABS(COLUMN()-COLUMN($V$3)-7)/15+ABS(ROW()-ROW($V$3)-7)/15)^2</f>
        <v>0.78222222222222215</v>
      </c>
      <c r="AH13" s="19">
        <f>1-(ABS(COLUMN()-COLUMN($V$3)-7)/15+ABS(ROW()-ROW($V$3)-7)/15)^2</f>
        <v>0.7155555555555555</v>
      </c>
      <c r="AI13" s="19">
        <f>1-(ABS(COLUMN()-COLUMN($V$3)-7)/15+ABS(ROW()-ROW($V$3)-7)/15)^2</f>
        <v>0.6399999999999999</v>
      </c>
      <c r="AJ13" s="20">
        <f>1-(ABS(COLUMN()-COLUMN($V$3)-7)/15+ABS(ROW()-ROW($V$3)-7)/15)^2</f>
        <v>0.55555555555555547</v>
      </c>
    </row>
    <row r="14" spans="2:36" x14ac:dyDescent="0.3">
      <c r="D14" s="1" t="str">
        <f>IF(maze!B14="","",1)</f>
        <v/>
      </c>
      <c r="E14" s="5" t="str">
        <f ca="1">IF(Reset=1,"",IF(AND(ISNUMBER(D14),ISERROR(FIND("L",maze!C14))),D14+1,IF(AND(ISNUMBER(E13),ISERROR(FIND("T",maze!C14))),E13+1,IF(AND(ISNUMBER(F14),ISERROR(FIND("L",maze!D14))),F14+1,IF(AND(ISNUMBER(E15),ISERROR(FIND("T",maze!C15))),E15+1,"")))))</f>
        <v/>
      </c>
      <c r="F14" s="6" t="str">
        <f ca="1">IF(Reset=1,"",IF(AND(ISNUMBER(E14),ISERROR(FIND("L",maze!D14))),E14+1,IF(AND(ISNUMBER(F13),ISERROR(FIND("T",maze!D14))),F13+1,IF(AND(ISNUMBER(G14),ISERROR(FIND("L",maze!E14))),G14+1,IF(AND(ISNUMBER(F15),ISERROR(FIND("T",maze!D15))),F15+1,"")))))</f>
        <v/>
      </c>
      <c r="G14" s="6" t="str">
        <f ca="1">IF(Reset=1,"",IF(AND(ISNUMBER(F14),ISERROR(FIND("L",maze!E14))),F14+1,IF(AND(ISNUMBER(G13),ISERROR(FIND("T",maze!E14))),G13+1,IF(AND(ISNUMBER(H14),ISERROR(FIND("L",maze!F14))),H14+1,IF(AND(ISNUMBER(G15),ISERROR(FIND("T",maze!E15))),G15+1,"")))))</f>
        <v/>
      </c>
      <c r="H14" s="6">
        <f ca="1">IF(Reset=1,"",IF(AND(ISNUMBER(G14),ISERROR(FIND("L",maze!F14))),G14+1,IF(AND(ISNUMBER(H13),ISERROR(FIND("T",maze!F14))),H13+1,IF(AND(ISNUMBER(I14),ISERROR(FIND("L",maze!G14))),I14+1,IF(AND(ISNUMBER(H15),ISERROR(FIND("T",maze!F15))),H15+1,"")))))</f>
        <v>55</v>
      </c>
      <c r="I14" s="6">
        <f ca="1">IF(Reset=1,"",IF(AND(ISNUMBER(H14),ISERROR(FIND("L",maze!G14))),H14+1,IF(AND(ISNUMBER(I13),ISERROR(FIND("T",maze!G14))),I13+1,IF(AND(ISNUMBER(J14),ISERROR(FIND("L",maze!H14))),J14+1,IF(AND(ISNUMBER(I15),ISERROR(FIND("T",maze!G15))),I15+1,"")))))</f>
        <v>56</v>
      </c>
      <c r="J14" s="6" t="str">
        <f ca="1">IF(Reset=1,"",IF(AND(ISNUMBER(I14),ISERROR(FIND("L",maze!H14))),I14+1,IF(AND(ISNUMBER(J13),ISERROR(FIND("T",maze!H14))),J13+1,IF(AND(ISNUMBER(K14),ISERROR(FIND("L",maze!I14))),K14+1,IF(AND(ISNUMBER(J15),ISERROR(FIND("T",maze!H15))),J15+1,"")))))</f>
        <v/>
      </c>
      <c r="K14" s="6">
        <f ca="1">IF(Reset=1,"",IF(AND(ISNUMBER(J14),ISERROR(FIND("L",maze!I14))),J14+1,IF(AND(ISNUMBER(K13),ISERROR(FIND("T",maze!I14))),K13+1,IF(AND(ISNUMBER(L14),ISERROR(FIND("L",maze!J14))),L14+1,IF(AND(ISNUMBER(K15),ISERROR(FIND("T",maze!I15))),K15+1,"")))))</f>
        <v>58</v>
      </c>
      <c r="L14" s="6">
        <f ca="1">IF(Reset=1,"",IF(AND(ISNUMBER(K14),ISERROR(FIND("L",maze!J14))),K14+1,IF(AND(ISNUMBER(L13),ISERROR(FIND("T",maze!J14))),L13+1,IF(AND(ISNUMBER(M14),ISERROR(FIND("L",maze!K14))),M14+1,IF(AND(ISNUMBER(L15),ISERROR(FIND("T",maze!J15))),L15+1,"")))))</f>
        <v>59</v>
      </c>
      <c r="M14" s="6">
        <f ca="1">IF(Reset=1,"",IF(AND(ISNUMBER(L14),ISERROR(FIND("L",maze!K14))),L14+1,IF(AND(ISNUMBER(M13),ISERROR(FIND("T",maze!K14))),M13+1,IF(AND(ISNUMBER(N14),ISERROR(FIND("L",maze!L14))),N14+1,IF(AND(ISNUMBER(M15),ISERROR(FIND("T",maze!K15))),M15+1,"")))))</f>
        <v>60</v>
      </c>
      <c r="N14" s="6">
        <f ca="1">IF(Reset=1,"",IF(AND(ISNUMBER(M14),ISERROR(FIND("L",maze!L14))),M14+1,IF(AND(ISNUMBER(N13),ISERROR(FIND("T",maze!L14))),N13+1,IF(AND(ISNUMBER(O14),ISERROR(FIND("L",maze!M14))),O14+1,IF(AND(ISNUMBER(N15),ISERROR(FIND("T",maze!L15))),N15+1,"")))))</f>
        <v>61</v>
      </c>
      <c r="O14" s="6">
        <f ca="1">IF(Reset=1,"",IF(AND(ISNUMBER(N14),ISERROR(FIND("L",maze!M14))),N14+1,IF(AND(ISNUMBER(O13),ISERROR(FIND("T",maze!M14))),O13+1,IF(AND(ISNUMBER(P14),ISERROR(FIND("L",maze!N14))),P14+1,IF(AND(ISNUMBER(O15),ISERROR(FIND("T",maze!M15))),O15+1,"")))))</f>
        <v>62</v>
      </c>
      <c r="P14" s="6" t="str">
        <f ca="1">IF(Reset=1,"",IF(AND(ISNUMBER(O14),ISERROR(FIND("L",maze!N14))),O14+1,IF(AND(ISNUMBER(P13),ISERROR(FIND("T",maze!N14))),P13+1,IF(AND(ISNUMBER(Q14),ISERROR(FIND("L",maze!O14))),Q14+1,IF(AND(ISNUMBER(P15),ISERROR(FIND("T",maze!N15))),P15+1,"")))))</f>
        <v/>
      </c>
      <c r="Q14" s="6">
        <f ca="1">IF(Reset=1,"",IF(AND(ISNUMBER(P14),ISERROR(FIND("L",maze!O14))),P14+1,IF(AND(ISNUMBER(Q13),ISERROR(FIND("T",maze!O14))),Q13+1,IF(AND(ISNUMBER(R14),ISERROR(FIND("L",maze!P14))),R14+1,IF(AND(ISNUMBER(Q15),ISERROR(FIND("T",maze!O15))),Q15+1,"")))))</f>
        <v>64</v>
      </c>
      <c r="R14" s="6">
        <f ca="1">IF(Reset=1,"",IF(AND(ISNUMBER(Q14),ISERROR(FIND("L",maze!P14))),Q14+1,IF(AND(ISNUMBER(R13),ISERROR(FIND("T",maze!P14))),R13+1,IF(AND(ISNUMBER(S14),ISERROR(FIND("L",maze!Q14))),S14+1,IF(AND(ISNUMBER(R15),ISERROR(FIND("T",maze!P15))),R15+1,"")))))</f>
        <v>65</v>
      </c>
      <c r="S14" s="7" t="str">
        <f ca="1">IF(Reset=1,"",IF(AND(ISNUMBER(R14),ISERROR(FIND("L",maze!Q14))),R14+1,IF(AND(ISNUMBER(S13),ISERROR(FIND("T",maze!Q14))),S13+1,IF(AND(ISNUMBER(T14),ISERROR(FIND("L",maze!R14))),T14+1,IF(AND(ISNUMBER(S15),ISERROR(FIND("T",maze!Q15))),S15+1,"")))))</f>
        <v/>
      </c>
      <c r="T14" t="str">
        <f>IF(maze!R14="","",maze!R14)</f>
        <v/>
      </c>
      <c r="V14" s="18">
        <f>1-(ABS(COLUMN()-COLUMN($V$3)-7)/15+ABS(ROW()-ROW($V$3)-7)/15)^2</f>
        <v>0.46222222222222209</v>
      </c>
      <c r="W14" s="19">
        <f>1-(ABS(COLUMN()-COLUMN($V$3)-7)/15+ABS(ROW()-ROW($V$3)-7)/15)^2</f>
        <v>0.55555555555555547</v>
      </c>
      <c r="X14" s="19">
        <f>1-(ABS(COLUMN()-COLUMN($V$3)-7)/15+ABS(ROW()-ROW($V$3)-7)/15)^2</f>
        <v>0.64</v>
      </c>
      <c r="Y14" s="19">
        <f>1-(ABS(COLUMN()-COLUMN($V$3)-7)/15+ABS(ROW()-ROW($V$3)-7)/15)^2</f>
        <v>0.7155555555555555</v>
      </c>
      <c r="Z14" s="19">
        <f>1-(ABS(COLUMN()-COLUMN($V$3)-7)/15+ABS(ROW()-ROW($V$3)-7)/15)^2</f>
        <v>0.78222222222222215</v>
      </c>
      <c r="AA14" s="19">
        <f>1-(ABS(COLUMN()-COLUMN($V$3)-7)/15+ABS(ROW()-ROW($V$3)-7)/15)^2</f>
        <v>0.84</v>
      </c>
      <c r="AB14" s="19">
        <f>1-(ABS(COLUMN()-COLUMN($V$3)-7)/15+ABS(ROW()-ROW($V$3)-7)/15)^2</f>
        <v>0.88888888888888884</v>
      </c>
      <c r="AC14" s="19">
        <f>1-(ABS(COLUMN()-COLUMN($V$3)-7)/15+ABS(ROW()-ROW($V$3)-7)/15)^2</f>
        <v>0.92888888888888888</v>
      </c>
      <c r="AD14" s="19">
        <f>1-(ABS(COLUMN()-COLUMN($V$3)-7)/15+ABS(ROW()-ROW($V$3)-7)/15)^2</f>
        <v>0.88888888888888884</v>
      </c>
      <c r="AE14" s="19">
        <f>1-(ABS(COLUMN()-COLUMN($V$3)-7)/15+ABS(ROW()-ROW($V$3)-7)/15)^2</f>
        <v>0.84</v>
      </c>
      <c r="AF14" s="19">
        <f>1-(ABS(COLUMN()-COLUMN($V$3)-7)/15+ABS(ROW()-ROW($V$3)-7)/15)^2</f>
        <v>0.78222222222222215</v>
      </c>
      <c r="AG14" s="19">
        <f>1-(ABS(COLUMN()-COLUMN($V$3)-7)/15+ABS(ROW()-ROW($V$3)-7)/15)^2</f>
        <v>0.7155555555555555</v>
      </c>
      <c r="AH14" s="19">
        <f>1-(ABS(COLUMN()-COLUMN($V$3)-7)/15+ABS(ROW()-ROW($V$3)-7)/15)^2</f>
        <v>0.64</v>
      </c>
      <c r="AI14" s="19">
        <f>1-(ABS(COLUMN()-COLUMN($V$3)-7)/15+ABS(ROW()-ROW($V$3)-7)/15)^2</f>
        <v>0.55555555555555547</v>
      </c>
      <c r="AJ14" s="20">
        <f>1-(ABS(COLUMN()-COLUMN($V$3)-7)/15+ABS(ROW()-ROW($V$3)-7)/15)^2</f>
        <v>0.46222222222222209</v>
      </c>
    </row>
    <row r="15" spans="2:36" x14ac:dyDescent="0.3">
      <c r="D15" s="1" t="str">
        <f>IF(maze!B15="","",1)</f>
        <v/>
      </c>
      <c r="E15" s="5" t="str">
        <f ca="1">IF(Reset=1,"",IF(AND(ISNUMBER(D15),ISERROR(FIND("L",maze!C15))),D15+1,IF(AND(ISNUMBER(E14),ISERROR(FIND("T",maze!C15))),E14+1,IF(AND(ISNUMBER(F15),ISERROR(FIND("L",maze!D15))),F15+1,IF(AND(ISNUMBER(E16),ISERROR(FIND("T",maze!C16))),E16+1,"")))))</f>
        <v/>
      </c>
      <c r="F15" s="6" t="str">
        <f ca="1">IF(Reset=1,"",IF(AND(ISNUMBER(E15),ISERROR(FIND("L",maze!D15))),E15+1,IF(AND(ISNUMBER(F14),ISERROR(FIND("T",maze!D15))),F14+1,IF(AND(ISNUMBER(G15),ISERROR(FIND("L",maze!E15))),G15+1,IF(AND(ISNUMBER(F16),ISERROR(FIND("T",maze!D16))),F16+1,"")))))</f>
        <v/>
      </c>
      <c r="G15" s="6" t="str">
        <f ca="1">IF(Reset=1,"",IF(AND(ISNUMBER(F15),ISERROR(FIND("L",maze!E15))),F15+1,IF(AND(ISNUMBER(G14),ISERROR(FIND("T",maze!E15))),G14+1,IF(AND(ISNUMBER(H15),ISERROR(FIND("L",maze!F15))),H15+1,IF(AND(ISNUMBER(G16),ISERROR(FIND("T",maze!E16))),G16+1,"")))))</f>
        <v/>
      </c>
      <c r="H15" s="6">
        <f ca="1">IF(Reset=1,"",IF(AND(ISNUMBER(G15),ISERROR(FIND("L",maze!F15))),G15+1,IF(AND(ISNUMBER(H14),ISERROR(FIND("T",maze!F15))),H14+1,IF(AND(ISNUMBER(I15),ISERROR(FIND("L",maze!G15))),I15+1,IF(AND(ISNUMBER(H16),ISERROR(FIND("T",maze!F16))),H16+1,"")))))</f>
        <v>56</v>
      </c>
      <c r="I15" s="6">
        <f ca="1">IF(Reset=1,"",IF(AND(ISNUMBER(H15),ISERROR(FIND("L",maze!G15))),H15+1,IF(AND(ISNUMBER(I14),ISERROR(FIND("T",maze!G15))),I14+1,IF(AND(ISNUMBER(J15),ISERROR(FIND("L",maze!H15))),J15+1,IF(AND(ISNUMBER(I16),ISERROR(FIND("T",maze!G16))),I16+1,"")))))</f>
        <v>57</v>
      </c>
      <c r="J15" s="6">
        <f ca="1">IF(Reset=1,"",IF(AND(ISNUMBER(I15),ISERROR(FIND("L",maze!H15))),I15+1,IF(AND(ISNUMBER(J14),ISERROR(FIND("T",maze!H15))),J14+1,IF(AND(ISNUMBER(K15),ISERROR(FIND("L",maze!I15))),K15+1,IF(AND(ISNUMBER(J16),ISERROR(FIND("T",maze!H16))),J16+1,"")))))</f>
        <v>58</v>
      </c>
      <c r="K15" s="6">
        <f ca="1">IF(Reset=1,"",IF(AND(ISNUMBER(J15),ISERROR(FIND("L",maze!I15))),J15+1,IF(AND(ISNUMBER(K14),ISERROR(FIND("T",maze!I15))),K14+1,IF(AND(ISNUMBER(L15),ISERROR(FIND("L",maze!J15))),L15+1,IF(AND(ISNUMBER(K16),ISERROR(FIND("T",maze!I16))),K16+1,"")))))</f>
        <v>59</v>
      </c>
      <c r="L15" s="6">
        <f ca="1">IF(Reset=1,"",IF(AND(ISNUMBER(K15),ISERROR(FIND("L",maze!J15))),K15+1,IF(AND(ISNUMBER(L14),ISERROR(FIND("T",maze!J15))),L14+1,IF(AND(ISNUMBER(M15),ISERROR(FIND("L",maze!K15))),M15+1,IF(AND(ISNUMBER(L16),ISERROR(FIND("T",maze!J16))),L16+1,"")))))</f>
        <v>60</v>
      </c>
      <c r="M15" s="6">
        <f ca="1">IF(Reset=1,"",IF(AND(ISNUMBER(L15),ISERROR(FIND("L",maze!K15))),L15+1,IF(AND(ISNUMBER(M14),ISERROR(FIND("T",maze!K15))),M14+1,IF(AND(ISNUMBER(N15),ISERROR(FIND("L",maze!L15))),N15+1,IF(AND(ISNUMBER(M16),ISERROR(FIND("T",maze!K16))),M16+1,"")))))</f>
        <v>61</v>
      </c>
      <c r="N15" s="6">
        <f ca="1">IF(Reset=1,"",IF(AND(ISNUMBER(M15),ISERROR(FIND("L",maze!L15))),M15+1,IF(AND(ISNUMBER(N14),ISERROR(FIND("T",maze!L15))),N14+1,IF(AND(ISNUMBER(O15),ISERROR(FIND("L",maze!M15))),O15+1,IF(AND(ISNUMBER(N16),ISERROR(FIND("T",maze!L16))),N16+1,"")))))</f>
        <v>62</v>
      </c>
      <c r="O15" s="6">
        <f ca="1">IF(Reset=1,"",IF(AND(ISNUMBER(N15),ISERROR(FIND("L",maze!M15))),N15+1,IF(AND(ISNUMBER(O14),ISERROR(FIND("T",maze!M15))),O14+1,IF(AND(ISNUMBER(P15),ISERROR(FIND("L",maze!N15))),P15+1,IF(AND(ISNUMBER(O16),ISERROR(FIND("T",maze!M16))),O16+1,"")))))</f>
        <v>63</v>
      </c>
      <c r="P15" s="6">
        <f ca="1">IF(Reset=1,"",IF(AND(ISNUMBER(O15),ISERROR(FIND("L",maze!N15))),O15+1,IF(AND(ISNUMBER(P14),ISERROR(FIND("T",maze!N15))),P14+1,IF(AND(ISNUMBER(Q15),ISERROR(FIND("L",maze!O15))),Q15+1,IF(AND(ISNUMBER(P16),ISERROR(FIND("T",maze!N16))),P16+1,"")))))</f>
        <v>64</v>
      </c>
      <c r="Q15" s="6">
        <f ca="1">IF(Reset=1,"",IF(AND(ISNUMBER(P15),ISERROR(FIND("L",maze!O15))),P15+1,IF(AND(ISNUMBER(Q14),ISERROR(FIND("T",maze!O15))),Q14+1,IF(AND(ISNUMBER(R15),ISERROR(FIND("L",maze!P15))),R15+1,IF(AND(ISNUMBER(Q16),ISERROR(FIND("T",maze!O16))),Q16+1,"")))))</f>
        <v>65</v>
      </c>
      <c r="R15" s="6">
        <f ca="1">IF(Reset=1,"",IF(AND(ISNUMBER(Q15),ISERROR(FIND("L",maze!P15))),Q15+1,IF(AND(ISNUMBER(R14),ISERROR(FIND("T",maze!P15))),R14+1,IF(AND(ISNUMBER(S15),ISERROR(FIND("L",maze!Q15))),S15+1,IF(AND(ISNUMBER(R16),ISERROR(FIND("T",maze!P16))),R16+1,"")))))</f>
        <v>66</v>
      </c>
      <c r="S15" s="7" t="str">
        <f ca="1">IF(Reset=1,"",IF(AND(ISNUMBER(R15),ISERROR(FIND("L",maze!Q15))),R15+1,IF(AND(ISNUMBER(S14),ISERROR(FIND("T",maze!Q15))),S14+1,IF(AND(ISNUMBER(T15),ISERROR(FIND("L",maze!R15))),T15+1,IF(AND(ISNUMBER(S16),ISERROR(FIND("T",maze!Q16))),S16+1,"")))))</f>
        <v/>
      </c>
      <c r="T15" t="str">
        <f>IF(maze!R15="","",maze!R15)</f>
        <v/>
      </c>
      <c r="V15" s="18">
        <f>1-(ABS(COLUMN()-COLUMN($V$3)-7)/15+ABS(ROW()-ROW($V$3)-7)/15)^2</f>
        <v>0.35999999999999988</v>
      </c>
      <c r="W15" s="19">
        <f>1-(ABS(COLUMN()-COLUMN($V$3)-7)/15+ABS(ROW()-ROW($V$3)-7)/15)^2</f>
        <v>0.46222222222222209</v>
      </c>
      <c r="X15" s="19">
        <f>1-(ABS(COLUMN()-COLUMN($V$3)-7)/15+ABS(ROW()-ROW($V$3)-7)/15)^2</f>
        <v>0.55555555555555558</v>
      </c>
      <c r="Y15" s="19">
        <f>1-(ABS(COLUMN()-COLUMN($V$3)-7)/15+ABS(ROW()-ROW($V$3)-7)/15)^2</f>
        <v>0.64</v>
      </c>
      <c r="Z15" s="19">
        <f>1-(ABS(COLUMN()-COLUMN($V$3)-7)/15+ABS(ROW()-ROW($V$3)-7)/15)^2</f>
        <v>0.7155555555555555</v>
      </c>
      <c r="AA15" s="19">
        <f>1-(ABS(COLUMN()-COLUMN($V$3)-7)/15+ABS(ROW()-ROW($V$3)-7)/15)^2</f>
        <v>0.78222222222222215</v>
      </c>
      <c r="AB15" s="19">
        <f>1-(ABS(COLUMN()-COLUMN($V$3)-7)/15+ABS(ROW()-ROW($V$3)-7)/15)^2</f>
        <v>0.84000000000000008</v>
      </c>
      <c r="AC15" s="19">
        <f>1-(ABS(COLUMN()-COLUMN($V$3)-7)/15+ABS(ROW()-ROW($V$3)-7)/15)^2</f>
        <v>0.88888888888888884</v>
      </c>
      <c r="AD15" s="19">
        <f>1-(ABS(COLUMN()-COLUMN($V$3)-7)/15+ABS(ROW()-ROW($V$3)-7)/15)^2</f>
        <v>0.84000000000000008</v>
      </c>
      <c r="AE15" s="19">
        <f>1-(ABS(COLUMN()-COLUMN($V$3)-7)/15+ABS(ROW()-ROW($V$3)-7)/15)^2</f>
        <v>0.78222222222222215</v>
      </c>
      <c r="AF15" s="19">
        <f>1-(ABS(COLUMN()-COLUMN($V$3)-7)/15+ABS(ROW()-ROW($V$3)-7)/15)^2</f>
        <v>0.7155555555555555</v>
      </c>
      <c r="AG15" s="19">
        <f>1-(ABS(COLUMN()-COLUMN($V$3)-7)/15+ABS(ROW()-ROW($V$3)-7)/15)^2</f>
        <v>0.64</v>
      </c>
      <c r="AH15" s="19">
        <f>1-(ABS(COLUMN()-COLUMN($V$3)-7)/15+ABS(ROW()-ROW($V$3)-7)/15)^2</f>
        <v>0.55555555555555558</v>
      </c>
      <c r="AI15" s="19">
        <f>1-(ABS(COLUMN()-COLUMN($V$3)-7)/15+ABS(ROW()-ROW($V$3)-7)/15)^2</f>
        <v>0.46222222222222209</v>
      </c>
      <c r="AJ15" s="20">
        <f>1-(ABS(COLUMN()-COLUMN($V$3)-7)/15+ABS(ROW()-ROW($V$3)-7)/15)^2</f>
        <v>0.35999999999999988</v>
      </c>
    </row>
    <row r="16" spans="2:36" x14ac:dyDescent="0.3">
      <c r="D16" s="1" t="str">
        <f>IF(maze!B16="","",1)</f>
        <v/>
      </c>
      <c r="E16" s="5" t="str">
        <f ca="1">IF(Reset=1,"",IF(AND(ISNUMBER(D16),ISERROR(FIND("L",maze!C16))),D16+1,IF(AND(ISNUMBER(E15),ISERROR(FIND("T",maze!C16))),E15+1,IF(AND(ISNUMBER(F16),ISERROR(FIND("L",maze!D16))),F16+1,IF(AND(ISNUMBER(E17),ISERROR(FIND("T",maze!C17))),E17+1,"")))))</f>
        <v/>
      </c>
      <c r="F16" s="6" t="str">
        <f ca="1">IF(Reset=1,"",IF(AND(ISNUMBER(E16),ISERROR(FIND("L",maze!D16))),E16+1,IF(AND(ISNUMBER(F15),ISERROR(FIND("T",maze!D16))),F15+1,IF(AND(ISNUMBER(G16),ISERROR(FIND("L",maze!E16))),G16+1,IF(AND(ISNUMBER(F17),ISERROR(FIND("T",maze!D17))),F17+1,"")))))</f>
        <v/>
      </c>
      <c r="G16" s="6" t="str">
        <f ca="1">IF(Reset=1,"",IF(AND(ISNUMBER(F16),ISERROR(FIND("L",maze!E16))),F16+1,IF(AND(ISNUMBER(G15),ISERROR(FIND("T",maze!E16))),G15+1,IF(AND(ISNUMBER(H16),ISERROR(FIND("L",maze!F16))),H16+1,IF(AND(ISNUMBER(G17),ISERROR(FIND("T",maze!E17))),G17+1,"")))))</f>
        <v/>
      </c>
      <c r="H16" s="6">
        <f ca="1">IF(Reset=1,"",IF(AND(ISNUMBER(G16),ISERROR(FIND("L",maze!F16))),G16+1,IF(AND(ISNUMBER(H15),ISERROR(FIND("T",maze!F16))),H15+1,IF(AND(ISNUMBER(I16),ISERROR(FIND("L",maze!G16))),I16+1,IF(AND(ISNUMBER(H17),ISERROR(FIND("T",maze!F17))),H17+1,"")))))</f>
        <v>57</v>
      </c>
      <c r="I16" s="6">
        <f ca="1">IF(Reset=1,"",IF(AND(ISNUMBER(H16),ISERROR(FIND("L",maze!G16))),H16+1,IF(AND(ISNUMBER(I15),ISERROR(FIND("T",maze!G16))),I15+1,IF(AND(ISNUMBER(J16),ISERROR(FIND("L",maze!H16))),J16+1,IF(AND(ISNUMBER(I17),ISERROR(FIND("T",maze!G17))),I17+1,"")))))</f>
        <v>58</v>
      </c>
      <c r="J16" s="6">
        <f ca="1">IF(Reset=1,"",IF(AND(ISNUMBER(I16),ISERROR(FIND("L",maze!H16))),I16+1,IF(AND(ISNUMBER(J15),ISERROR(FIND("T",maze!H16))),J15+1,IF(AND(ISNUMBER(K16),ISERROR(FIND("L",maze!I16))),K16+1,IF(AND(ISNUMBER(J17),ISERROR(FIND("T",maze!H17))),J17+1,"")))))</f>
        <v>59</v>
      </c>
      <c r="K16" s="6">
        <f ca="1">IF(Reset=1,"",IF(AND(ISNUMBER(J16),ISERROR(FIND("L",maze!I16))),J16+1,IF(AND(ISNUMBER(K15),ISERROR(FIND("T",maze!I16))),K15+1,IF(AND(ISNUMBER(L16),ISERROR(FIND("L",maze!J16))),L16+1,IF(AND(ISNUMBER(K17),ISERROR(FIND("T",maze!I17))),K17+1,"")))))</f>
        <v>60</v>
      </c>
      <c r="L16" s="6">
        <f ca="1">IF(Reset=1,"",IF(AND(ISNUMBER(K16),ISERROR(FIND("L",maze!J16))),K16+1,IF(AND(ISNUMBER(L15),ISERROR(FIND("T",maze!J16))),L15+1,IF(AND(ISNUMBER(M16),ISERROR(FIND("L",maze!K16))),M16+1,IF(AND(ISNUMBER(L17),ISERROR(FIND("T",maze!J17))),L17+1,"")))))</f>
        <v>61</v>
      </c>
      <c r="M16" s="6">
        <f ca="1">IF(Reset=1,"",IF(AND(ISNUMBER(L16),ISERROR(FIND("L",maze!K16))),L16+1,IF(AND(ISNUMBER(M15),ISERROR(FIND("T",maze!K16))),M15+1,IF(AND(ISNUMBER(N16),ISERROR(FIND("L",maze!L16))),N16+1,IF(AND(ISNUMBER(M17),ISERROR(FIND("T",maze!K17))),M17+1,"")))))</f>
        <v>62</v>
      </c>
      <c r="N16" s="6" t="str">
        <f ca="1">IF(Reset=1,"",IF(AND(ISNUMBER(M16),ISERROR(FIND("L",maze!L16))),M16+1,IF(AND(ISNUMBER(N15),ISERROR(FIND("T",maze!L16))),N15+1,IF(AND(ISNUMBER(O16),ISERROR(FIND("L",maze!M16))),O16+1,IF(AND(ISNUMBER(N17),ISERROR(FIND("T",maze!L17))),N17+1,"")))))</f>
        <v/>
      </c>
      <c r="O16" s="6" t="str">
        <f ca="1">IF(Reset=1,"",IF(AND(ISNUMBER(N16),ISERROR(FIND("L",maze!M16))),N16+1,IF(AND(ISNUMBER(O15),ISERROR(FIND("T",maze!M16))),O15+1,IF(AND(ISNUMBER(P16),ISERROR(FIND("L",maze!N16))),P16+1,IF(AND(ISNUMBER(O17),ISERROR(FIND("T",maze!M17))),O17+1,"")))))</f>
        <v/>
      </c>
      <c r="P16" s="6" t="str">
        <f ca="1">IF(Reset=1,"",IF(AND(ISNUMBER(O16),ISERROR(FIND("L",maze!N16))),O16+1,IF(AND(ISNUMBER(P15),ISERROR(FIND("T",maze!N16))),P15+1,IF(AND(ISNUMBER(Q16),ISERROR(FIND("L",maze!O16))),Q16+1,IF(AND(ISNUMBER(P17),ISERROR(FIND("T",maze!N17))),P17+1,"")))))</f>
        <v/>
      </c>
      <c r="Q16" s="6" t="str">
        <f ca="1">IF(Reset=1,"",IF(AND(ISNUMBER(P16),ISERROR(FIND("L",maze!O16))),P16+1,IF(AND(ISNUMBER(Q15),ISERROR(FIND("T",maze!O16))),Q15+1,IF(AND(ISNUMBER(R16),ISERROR(FIND("L",maze!P16))),R16+1,IF(AND(ISNUMBER(Q17),ISERROR(FIND("T",maze!O17))),Q17+1,"")))))</f>
        <v/>
      </c>
      <c r="R16" s="6">
        <f ca="1">IF(Reset=1,"",IF(AND(ISNUMBER(Q16),ISERROR(FIND("L",maze!P16))),Q16+1,IF(AND(ISNUMBER(R15),ISERROR(FIND("T",maze!P16))),R15+1,IF(AND(ISNUMBER(S16),ISERROR(FIND("L",maze!Q16))),S16+1,IF(AND(ISNUMBER(R17),ISERROR(FIND("T",maze!P17))),R17+1,"")))))</f>
        <v>67</v>
      </c>
      <c r="S16" s="7">
        <f ca="1">IF(Reset=1,"",IF(AND(ISNUMBER(R16),ISERROR(FIND("L",maze!Q16))),R16+1,IF(AND(ISNUMBER(S15),ISERROR(FIND("T",maze!Q16))),S15+1,IF(AND(ISNUMBER(T16),ISERROR(FIND("L",maze!#REF!))),T16+1,IF(AND(ISNUMBER(S17),ISERROR(FIND("T",maze!Q17))),S17+1,"")))))</f>
        <v>68</v>
      </c>
      <c r="T16" t="str">
        <f>IF(maze!R16="","",maze!R16)</f>
        <v>END</v>
      </c>
      <c r="V16" s="18">
        <f>1-(ABS(COLUMN()-COLUMN($V$3)-7)/15+ABS(ROW()-ROW($V$3)-7)/15)^2</f>
        <v>0.24888888888888883</v>
      </c>
      <c r="W16" s="19">
        <f>1-(ABS(COLUMN()-COLUMN($V$3)-7)/15+ABS(ROW()-ROW($V$3)-7)/15)^2</f>
        <v>0.35999999999999988</v>
      </c>
      <c r="X16" s="19">
        <f>1-(ABS(COLUMN()-COLUMN($V$3)-7)/15+ABS(ROW()-ROW($V$3)-7)/15)^2</f>
        <v>0.46222222222222209</v>
      </c>
      <c r="Y16" s="19">
        <f>1-(ABS(COLUMN()-COLUMN($V$3)-7)/15+ABS(ROW()-ROW($V$3)-7)/15)^2</f>
        <v>0.55555555555555547</v>
      </c>
      <c r="Z16" s="19">
        <f>1-(ABS(COLUMN()-COLUMN($V$3)-7)/15+ABS(ROW()-ROW($V$3)-7)/15)^2</f>
        <v>0.6399999999999999</v>
      </c>
      <c r="AA16" s="19">
        <f>1-(ABS(COLUMN()-COLUMN($V$3)-7)/15+ABS(ROW()-ROW($V$3)-7)/15)^2</f>
        <v>0.7155555555555555</v>
      </c>
      <c r="AB16" s="19">
        <f>1-(ABS(COLUMN()-COLUMN($V$3)-7)/15+ABS(ROW()-ROW($V$3)-7)/15)^2</f>
        <v>0.78222222222222215</v>
      </c>
      <c r="AC16" s="19">
        <f>1-(ABS(COLUMN()-COLUMN($V$3)-7)/15+ABS(ROW()-ROW($V$3)-7)/15)^2</f>
        <v>0.84</v>
      </c>
      <c r="AD16" s="19">
        <f>1-(ABS(COLUMN()-COLUMN($V$3)-7)/15+ABS(ROW()-ROW($V$3)-7)/15)^2</f>
        <v>0.78222222222222215</v>
      </c>
      <c r="AE16" s="19">
        <f>1-(ABS(COLUMN()-COLUMN($V$3)-7)/15+ABS(ROW()-ROW($V$3)-7)/15)^2</f>
        <v>0.7155555555555555</v>
      </c>
      <c r="AF16" s="19">
        <f>1-(ABS(COLUMN()-COLUMN($V$3)-7)/15+ABS(ROW()-ROW($V$3)-7)/15)^2</f>
        <v>0.6399999999999999</v>
      </c>
      <c r="AG16" s="19">
        <f>1-(ABS(COLUMN()-COLUMN($V$3)-7)/15+ABS(ROW()-ROW($V$3)-7)/15)^2</f>
        <v>0.55555555555555547</v>
      </c>
      <c r="AH16" s="19">
        <f>1-(ABS(COLUMN()-COLUMN($V$3)-7)/15+ABS(ROW()-ROW($V$3)-7)/15)^2</f>
        <v>0.46222222222222209</v>
      </c>
      <c r="AI16" s="19">
        <f>1-(ABS(COLUMN()-COLUMN($V$3)-7)/15+ABS(ROW()-ROW($V$3)-7)/15)^2</f>
        <v>0.35999999999999988</v>
      </c>
      <c r="AJ16" s="20">
        <f>1-(ABS(COLUMN()-COLUMN($V$3)-7)/15+ABS(ROW()-ROW($V$3)-7)/15)^2</f>
        <v>0.24888888888888883</v>
      </c>
    </row>
    <row r="17" spans="4:36" x14ac:dyDescent="0.3">
      <c r="D17" s="1" t="str">
        <f>IF(maze!B17="","",1)</f>
        <v/>
      </c>
      <c r="E17" s="8" t="str">
        <f ca="1">IF(Reset=1,"",IF(AND(ISNUMBER(D17),ISERROR(FIND("L",maze!C17))),D17+1,IF(AND(ISNUMBER(E16),ISERROR(FIND("T",maze!C17))),E16+1,IF(AND(ISNUMBER(F17),ISERROR(FIND("L",maze!D17))),F17+1,IF(AND(ISNUMBER(E19),ISERROR(FIND("T",maze!C18))),E19+1,"")))))</f>
        <v/>
      </c>
      <c r="F17" s="9" t="str">
        <f ca="1">IF(Reset=1,"",IF(AND(ISNUMBER(E17),ISERROR(FIND("L",maze!D17))),E17+1,IF(AND(ISNUMBER(F16),ISERROR(FIND("T",maze!D17))),F16+1,IF(AND(ISNUMBER(G17),ISERROR(FIND("L",maze!E17))),G17+1,IF(AND(ISNUMBER(F19),ISERROR(FIND("T",maze!D18))),F19+1,"")))))</f>
        <v/>
      </c>
      <c r="G17" s="9" t="str">
        <f ca="1">IF(Reset=1,"",IF(AND(ISNUMBER(F17),ISERROR(FIND("L",maze!E17))),F17+1,IF(AND(ISNUMBER(G16),ISERROR(FIND("T",maze!E17))),G16+1,IF(AND(ISNUMBER(H17),ISERROR(FIND("L",maze!F17))),H17+1,IF(AND(ISNUMBER(G19),ISERROR(FIND("T",maze!E18))),G19+1,"")))))</f>
        <v/>
      </c>
      <c r="H17" s="9">
        <f ca="1">IF(Reset=1,"",IF(AND(ISNUMBER(G17),ISERROR(FIND("L",maze!F17))),G17+1,IF(AND(ISNUMBER(H16),ISERROR(FIND("T",maze!F17))),H16+1,IF(AND(ISNUMBER(I17),ISERROR(FIND("L",maze!G17))),I17+1,IF(AND(ISNUMBER(H19),ISERROR(FIND("T",maze!F18))),H19+1,"")))))</f>
        <v>58</v>
      </c>
      <c r="I17" s="9">
        <f ca="1">IF(Reset=1,"",IF(AND(ISNUMBER(H17),ISERROR(FIND("L",maze!G17))),H17+1,IF(AND(ISNUMBER(I16),ISERROR(FIND("T",maze!G17))),I16+1,IF(AND(ISNUMBER(J17),ISERROR(FIND("L",maze!H17))),J17+1,IF(AND(ISNUMBER(I19),ISERROR(FIND("T",maze!G18))),I19+1,"")))))</f>
        <v>59</v>
      </c>
      <c r="J17" s="9">
        <f ca="1">IF(Reset=1,"",IF(AND(ISNUMBER(I17),ISERROR(FIND("L",maze!H17))),I17+1,IF(AND(ISNUMBER(J16),ISERROR(FIND("T",maze!H17))),J16+1,IF(AND(ISNUMBER(K17),ISERROR(FIND("L",maze!I17))),K17+1,IF(AND(ISNUMBER(J19),ISERROR(FIND("T",maze!H18))),J19+1,"")))))</f>
        <v>60</v>
      </c>
      <c r="K17" s="9">
        <f ca="1">IF(Reset=1,"",IF(AND(ISNUMBER(J17),ISERROR(FIND("L",maze!I17))),J17+1,IF(AND(ISNUMBER(K16),ISERROR(FIND("T",maze!I17))),K16+1,IF(AND(ISNUMBER(L17),ISERROR(FIND("L",maze!J17))),L17+1,IF(AND(ISNUMBER(K19),ISERROR(FIND("T",maze!I18))),K19+1,"")))))</f>
        <v>61</v>
      </c>
      <c r="L17" s="9" t="str">
        <f ca="1">IF(Reset=1,"",IF(AND(ISNUMBER(K17),ISERROR(FIND("L",maze!J17))),K17+1,IF(AND(ISNUMBER(L16),ISERROR(FIND("T",maze!J17))),L16+1,IF(AND(ISNUMBER(M17),ISERROR(FIND("L",maze!K17))),M17+1,IF(AND(ISNUMBER(L19),ISERROR(FIND("T",maze!J18))),L19+1,"")))))</f>
        <v/>
      </c>
      <c r="M17" s="9" t="str">
        <f ca="1">IF(Reset=1,"",IF(AND(ISNUMBER(L17),ISERROR(FIND("L",maze!K17))),L17+1,IF(AND(ISNUMBER(M16),ISERROR(FIND("T",maze!K17))),M16+1,IF(AND(ISNUMBER(N17),ISERROR(FIND("L",maze!L17))),N17+1,IF(AND(ISNUMBER(M19),ISERROR(FIND("T",maze!K18))),M19+1,"")))))</f>
        <v/>
      </c>
      <c r="N17" s="9" t="str">
        <f ca="1">IF(Reset=1,"",IF(AND(ISNUMBER(M17),ISERROR(FIND("L",maze!L17))),M17+1,IF(AND(ISNUMBER(N16),ISERROR(FIND("T",maze!L17))),N16+1,IF(AND(ISNUMBER(O17),ISERROR(FIND("L",maze!M17))),O17+1,IF(AND(ISNUMBER(N19),ISERROR(FIND("T",maze!L18))),N19+1,"")))))</f>
        <v/>
      </c>
      <c r="O17" s="9" t="str">
        <f ca="1">IF(Reset=1,"",IF(AND(ISNUMBER(N17),ISERROR(FIND("L",maze!M17))),N17+1,IF(AND(ISNUMBER(O16),ISERROR(FIND("T",maze!M17))),O16+1,IF(AND(ISNUMBER(P17),ISERROR(FIND("L",maze!N17))),P17+1,IF(AND(ISNUMBER(O19),ISERROR(FIND("T",maze!M18))),O19+1,"")))))</f>
        <v/>
      </c>
      <c r="P17" s="9" t="str">
        <f ca="1">IF(Reset=1,"",IF(AND(ISNUMBER(O17),ISERROR(FIND("L",maze!N17))),O17+1,IF(AND(ISNUMBER(P16),ISERROR(FIND("T",maze!N17))),P16+1,IF(AND(ISNUMBER(Q17),ISERROR(FIND("L",maze!O17))),Q17+1,IF(AND(ISNUMBER(P19),ISERROR(FIND("T",maze!N18))),P19+1,"")))))</f>
        <v/>
      </c>
      <c r="Q17" s="9" t="str">
        <f ca="1">IF(Reset=1,"",IF(AND(ISNUMBER(P17),ISERROR(FIND("L",maze!O17))),P17+1,IF(AND(ISNUMBER(Q16),ISERROR(FIND("T",maze!O17))),Q16+1,IF(AND(ISNUMBER(R17),ISERROR(FIND("L",maze!P17))),R17+1,IF(AND(ISNUMBER(Q19),ISERROR(FIND("T",maze!O18))),Q19+1,"")))))</f>
        <v/>
      </c>
      <c r="R17" s="9" t="str">
        <f ca="1">IF(Reset=1,"",IF(AND(ISNUMBER(Q17),ISERROR(FIND("L",maze!P17))),Q17+1,IF(AND(ISNUMBER(R16),ISERROR(FIND("T",maze!P17))),R16+1,IF(AND(ISNUMBER(S17),ISERROR(FIND("L",maze!Q17))),S17+1,IF(AND(ISNUMBER(R19),ISERROR(FIND("T",maze!P18))),R19+1,"")))))</f>
        <v/>
      </c>
      <c r="S17" s="10">
        <f ca="1">IF(Reset=1,"",IF(AND(ISNUMBER(R17),ISERROR(FIND("L",maze!Q17))),R17+1,IF(AND(ISNUMBER(S16),ISERROR(FIND("T",maze!Q17))),S16+1,IF(AND(ISNUMBER(T17),ISERROR(FIND("L",maze!R17))),T17+1,IF(AND(ISNUMBER(S19),ISERROR(FIND("T",maze!Q18))),S19+1,"")))))</f>
        <v>69</v>
      </c>
      <c r="T17" t="str">
        <f>IF(maze!R17="","",maze!R17)</f>
        <v/>
      </c>
      <c r="V17" s="21">
        <f>1-(ABS(COLUMN()-COLUMN($V$3)-7)/15+ABS(ROW()-ROW($V$3)-7)/15)^2</f>
        <v>0.12888888888888883</v>
      </c>
      <c r="W17" s="22">
        <f>1-(ABS(COLUMN()-COLUMN($V$3)-7)/15+ABS(ROW()-ROW($V$3)-7)/15)^2</f>
        <v>0.24888888888888883</v>
      </c>
      <c r="X17" s="22">
        <f>1-(ABS(COLUMN()-COLUMN($V$3)-7)/15+ABS(ROW()-ROW($V$3)-7)/15)^2</f>
        <v>0.35999999999999988</v>
      </c>
      <c r="Y17" s="22">
        <f>1-(ABS(COLUMN()-COLUMN($V$3)-7)/15+ABS(ROW()-ROW($V$3)-7)/15)^2</f>
        <v>0.46222222222222209</v>
      </c>
      <c r="Z17" s="22">
        <f>1-(ABS(COLUMN()-COLUMN($V$3)-7)/15+ABS(ROW()-ROW($V$3)-7)/15)^2</f>
        <v>0.55555555555555547</v>
      </c>
      <c r="AA17" s="22">
        <f>1-(ABS(COLUMN()-COLUMN($V$3)-7)/15+ABS(ROW()-ROW($V$3)-7)/15)^2</f>
        <v>0.64</v>
      </c>
      <c r="AB17" s="22">
        <f>1-(ABS(COLUMN()-COLUMN($V$3)-7)/15+ABS(ROW()-ROW($V$3)-7)/15)^2</f>
        <v>0.7155555555555555</v>
      </c>
      <c r="AC17" s="22">
        <f>1-(ABS(COLUMN()-COLUMN($V$3)-7)/15+ABS(ROW()-ROW($V$3)-7)/15)^2</f>
        <v>0.78222222222222215</v>
      </c>
      <c r="AD17" s="22">
        <f>1-(ABS(COLUMN()-COLUMN($V$3)-7)/15+ABS(ROW()-ROW($V$3)-7)/15)^2</f>
        <v>0.7155555555555555</v>
      </c>
      <c r="AE17" s="22">
        <f>1-(ABS(COLUMN()-COLUMN($V$3)-7)/15+ABS(ROW()-ROW($V$3)-7)/15)^2</f>
        <v>0.64</v>
      </c>
      <c r="AF17" s="22">
        <f>1-(ABS(COLUMN()-COLUMN($V$3)-7)/15+ABS(ROW()-ROW($V$3)-7)/15)^2</f>
        <v>0.55555555555555547</v>
      </c>
      <c r="AG17" s="22">
        <f>1-(ABS(COLUMN()-COLUMN($V$3)-7)/15+ABS(ROW()-ROW($V$3)-7)/15)^2</f>
        <v>0.46222222222222209</v>
      </c>
      <c r="AH17" s="22">
        <f>1-(ABS(COLUMN()-COLUMN($V$3)-7)/15+ABS(ROW()-ROW($V$3)-7)/15)^2</f>
        <v>0.35999999999999988</v>
      </c>
      <c r="AI17" s="22">
        <f>1-(ABS(COLUMN()-COLUMN($V$3)-7)/15+ABS(ROW()-ROW($V$3)-7)/15)^2</f>
        <v>0.24888888888888883</v>
      </c>
      <c r="AJ17" s="23">
        <f>1-(ABS(COLUMN()-COLUMN($V$3)-7)/15+ABS(ROW()-ROW($V$3)-7)/15)^2</f>
        <v>0.12888888888888883</v>
      </c>
    </row>
  </sheetData>
  <conditionalFormatting sqref="E3:S17">
    <cfRule type="expression" dxfId="1" priority="5">
      <formula>E3="X"</formula>
    </cfRule>
  </conditionalFormatting>
  <conditionalFormatting sqref="V3:AJ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instructions</vt:lpstr>
      <vt:lpstr>maze</vt:lpstr>
      <vt:lpstr>path</vt:lpstr>
      <vt:lpstr>LineProb</vt:lpstr>
      <vt:lpstr>MadeIt</vt:lpstr>
      <vt:lpstr>MaxScore</vt:lpstr>
      <vt:lpstr>Reset</vt:lpstr>
      <vt:lpstr>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Rae</dc:creator>
  <cp:lastModifiedBy>Chris Rae</cp:lastModifiedBy>
  <cp:lastPrinted>2020-02-28T01:14:18Z</cp:lastPrinted>
  <dcterms:created xsi:type="dcterms:W3CDTF">2020-02-25T05:51:37Z</dcterms:created>
  <dcterms:modified xsi:type="dcterms:W3CDTF">2020-02-28T23:37:48Z</dcterms:modified>
</cp:coreProperties>
</file>